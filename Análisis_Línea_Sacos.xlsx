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854fe02b8d1ccae/"/>
    </mc:Choice>
  </mc:AlternateContent>
  <xr:revisionPtr revIDLastSave="2032" documentId="8_{F5145F14-BD9C-469E-B1F6-EE47A59F77F2}" xr6:coauthVersionLast="47" xr6:coauthVersionMax="47" xr10:uidLastSave="{3AEBC1FD-C291-478F-B75D-9D8F3F7C89E4}"/>
  <bookViews>
    <workbookView xWindow="-110" yWindow="-110" windowWidth="23260" windowHeight="14860" xr2:uid="{CA7FCDBF-7A01-4879-B717-441D52A59B40}"/>
  </bookViews>
  <sheets>
    <sheet name="Operaciones_Tiempos" sheetId="10" r:id="rId1"/>
    <sheet name="Delanteros" sheetId="1" r:id="rId2"/>
    <sheet name="Delanteros piezas chicas" sheetId="2" r:id="rId3"/>
    <sheet name="Vistas" sheetId="4" r:id="rId4"/>
    <sheet name="Mangas" sheetId="5" r:id="rId5"/>
    <sheet name="Cuellos" sheetId="6" r:id="rId6"/>
    <sheet name="Ensamble" sheetId="7" r:id="rId7"/>
    <sheet name="Terminado" sheetId="8" r:id="rId8"/>
    <sheet name="AMF" sheetId="9" r:id="rId9"/>
    <sheet name="Plachado Final" sheetId="11" r:id="rId10"/>
  </sheets>
  <definedNames>
    <definedName name="_xlnm._FilterDatabase" localSheetId="1" hidden="1">Delanteros!$A$1:$S$23</definedName>
    <definedName name="_xlnm.Print_Area" localSheetId="1">Delanteros!$A$1:$U$23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6" i="10" l="1"/>
  <c r="C127" i="10"/>
  <c r="C128" i="10" s="1"/>
  <c r="C129" i="10" s="1"/>
  <c r="D88" i="10"/>
  <c r="D83" i="10" l="1"/>
  <c r="C124" i="10" l="1"/>
  <c r="D115" i="10"/>
  <c r="D116" i="10"/>
  <c r="D117" i="10"/>
  <c r="D118" i="10"/>
  <c r="D119" i="10"/>
  <c r="D120" i="10"/>
  <c r="D121" i="10"/>
  <c r="D122" i="10"/>
  <c r="D123" i="10"/>
  <c r="U3" i="2"/>
  <c r="U4" i="2"/>
  <c r="U5" i="2"/>
  <c r="U6" i="2"/>
  <c r="U7" i="2"/>
  <c r="U8" i="2"/>
  <c r="U9" i="2"/>
  <c r="U10" i="2"/>
  <c r="U2" i="2"/>
  <c r="T12" i="2"/>
  <c r="T3" i="2"/>
  <c r="T4" i="2"/>
  <c r="T5" i="2"/>
  <c r="T6" i="2"/>
  <c r="T7" i="2"/>
  <c r="T8" i="2"/>
  <c r="T9" i="2"/>
  <c r="T10" i="2"/>
  <c r="T11" i="2"/>
  <c r="S3" i="2"/>
  <c r="S4" i="2"/>
  <c r="S5" i="2"/>
  <c r="S6" i="2"/>
  <c r="S7" i="2"/>
  <c r="S8" i="2"/>
  <c r="S9" i="2"/>
  <c r="S10" i="2"/>
  <c r="S11" i="2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J17" i="11"/>
  <c r="L17" i="11"/>
  <c r="T17" i="11"/>
  <c r="S3" i="11"/>
  <c r="T3" i="11"/>
  <c r="S4" i="11"/>
  <c r="T4" i="11"/>
  <c r="S5" i="11"/>
  <c r="T5" i="11"/>
  <c r="S6" i="11"/>
  <c r="T6" i="11"/>
  <c r="S7" i="11"/>
  <c r="T7" i="11"/>
  <c r="S8" i="11"/>
  <c r="T8" i="11"/>
  <c r="S9" i="11"/>
  <c r="T9" i="11"/>
  <c r="S10" i="11"/>
  <c r="T10" i="11"/>
  <c r="S11" i="11"/>
  <c r="T11" i="11"/>
  <c r="S12" i="11"/>
  <c r="T12" i="11"/>
  <c r="S13" i="11"/>
  <c r="T13" i="11"/>
  <c r="S14" i="11"/>
  <c r="T14" i="11"/>
  <c r="S15" i="11"/>
  <c r="T15" i="11"/>
  <c r="S16" i="11"/>
  <c r="T16" i="11"/>
  <c r="S2" i="11"/>
  <c r="T2" i="11" s="1"/>
  <c r="U3" i="11"/>
  <c r="U4" i="11"/>
  <c r="U5" i="11"/>
  <c r="U6" i="11"/>
  <c r="U7" i="11"/>
  <c r="U8" i="11"/>
  <c r="U9" i="11"/>
  <c r="U10" i="11"/>
  <c r="U12" i="11"/>
  <c r="U13" i="11"/>
  <c r="U14" i="11"/>
  <c r="U15" i="11"/>
  <c r="U16" i="11"/>
  <c r="U2" i="11"/>
  <c r="L6" i="11"/>
  <c r="L7" i="11"/>
  <c r="L8" i="11"/>
  <c r="L9" i="11"/>
  <c r="L10" i="11"/>
  <c r="L11" i="11"/>
  <c r="L12" i="11"/>
  <c r="L13" i="11"/>
  <c r="L14" i="11"/>
  <c r="L15" i="11"/>
  <c r="L16" i="11"/>
  <c r="L3" i="11"/>
  <c r="L4" i="11"/>
  <c r="L5" i="11"/>
  <c r="L2" i="11"/>
  <c r="I3" i="11"/>
  <c r="J3" i="11" s="1"/>
  <c r="I8" i="11"/>
  <c r="J8" i="11"/>
  <c r="I9" i="11"/>
  <c r="J9" i="11"/>
  <c r="I12" i="11"/>
  <c r="J12" i="11"/>
  <c r="I13" i="11"/>
  <c r="J13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2" i="11"/>
  <c r="E16" i="11"/>
  <c r="I16" i="11" s="1"/>
  <c r="J16" i="11" s="1"/>
  <c r="E15" i="11"/>
  <c r="I15" i="11" s="1"/>
  <c r="J15" i="11" s="1"/>
  <c r="E14" i="11"/>
  <c r="I14" i="11" s="1"/>
  <c r="J14" i="11" s="1"/>
  <c r="E13" i="11"/>
  <c r="E12" i="11"/>
  <c r="E11" i="11"/>
  <c r="I11" i="11" s="1"/>
  <c r="J11" i="11" s="1"/>
  <c r="E10" i="11"/>
  <c r="I10" i="11" s="1"/>
  <c r="J10" i="11" s="1"/>
  <c r="E9" i="11"/>
  <c r="E8" i="11"/>
  <c r="E7" i="11"/>
  <c r="I7" i="11" s="1"/>
  <c r="J7" i="11" s="1"/>
  <c r="E6" i="11"/>
  <c r="I6" i="11" s="1"/>
  <c r="J6" i="11" s="1"/>
  <c r="E5" i="11"/>
  <c r="I5" i="11" s="1"/>
  <c r="J5" i="11" s="1"/>
  <c r="E4" i="11"/>
  <c r="I4" i="11" s="1"/>
  <c r="J4" i="11" s="1"/>
  <c r="E3" i="11"/>
  <c r="E2" i="11"/>
  <c r="I2" i="11" s="1"/>
  <c r="J2" i="11" s="1"/>
  <c r="D96" i="10" l="1"/>
  <c r="D95" i="10"/>
  <c r="D90" i="10"/>
  <c r="D91" i="10"/>
  <c r="D92" i="10"/>
  <c r="D93" i="10"/>
  <c r="D94" i="10"/>
  <c r="D97" i="10"/>
  <c r="D98" i="10"/>
  <c r="D99" i="10"/>
  <c r="D100" i="10"/>
  <c r="U3" i="5"/>
  <c r="U4" i="5"/>
  <c r="U5" i="5"/>
  <c r="U6" i="5"/>
  <c r="U9" i="5"/>
  <c r="U10" i="5"/>
  <c r="U11" i="5"/>
  <c r="U12" i="5"/>
  <c r="U2" i="5"/>
  <c r="D82" i="10"/>
  <c r="D84" i="10"/>
  <c r="D85" i="10"/>
  <c r="D86" i="10"/>
  <c r="D87" i="10"/>
  <c r="D89" i="10"/>
  <c r="U4" i="6"/>
  <c r="U5" i="6"/>
  <c r="U6" i="6"/>
  <c r="U7" i="6"/>
  <c r="U9" i="6"/>
  <c r="U2" i="6"/>
  <c r="D62" i="10"/>
  <c r="D63" i="10"/>
  <c r="D64" i="10"/>
  <c r="D65" i="10"/>
  <c r="D66" i="10"/>
  <c r="D67" i="10"/>
  <c r="D68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E21" i="8"/>
  <c r="I21" i="8" s="1"/>
  <c r="J21" i="8" s="1"/>
  <c r="U21" i="8"/>
  <c r="S21" i="8"/>
  <c r="T21" i="8" s="1"/>
  <c r="L21" i="8"/>
  <c r="G21" i="8"/>
  <c r="U3" i="8"/>
  <c r="U4" i="8"/>
  <c r="U5" i="8"/>
  <c r="U6" i="8"/>
  <c r="U7" i="8"/>
  <c r="U8" i="8"/>
  <c r="U10" i="8"/>
  <c r="U11" i="8"/>
  <c r="U12" i="8"/>
  <c r="U14" i="8"/>
  <c r="U15" i="8"/>
  <c r="U16" i="8"/>
  <c r="U17" i="8"/>
  <c r="U18" i="8"/>
  <c r="U13" i="8"/>
  <c r="U19" i="8"/>
  <c r="U20" i="8"/>
  <c r="U2" i="8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U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" i="7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21" i="10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" i="4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" i="10"/>
  <c r="V3" i="1"/>
  <c r="V4" i="1"/>
  <c r="V5" i="1"/>
  <c r="V6" i="1"/>
  <c r="V7" i="1"/>
  <c r="V8" i="1"/>
  <c r="V10" i="1"/>
  <c r="V11" i="1"/>
  <c r="V12" i="1"/>
  <c r="V13" i="1"/>
  <c r="V14" i="1"/>
  <c r="V15" i="1"/>
  <c r="V16" i="1"/>
  <c r="V17" i="1"/>
  <c r="V18" i="1"/>
  <c r="V19" i="1"/>
  <c r="V20" i="1"/>
  <c r="V21" i="1"/>
  <c r="V2" i="1"/>
  <c r="L26" i="4"/>
  <c r="S7" i="1"/>
  <c r="S3" i="8"/>
  <c r="T3" i="8"/>
  <c r="S4" i="8"/>
  <c r="T4" i="8" s="1"/>
  <c r="S5" i="8"/>
  <c r="T5" i="8"/>
  <c r="S6" i="8"/>
  <c r="T6" i="8"/>
  <c r="S7" i="8"/>
  <c r="T7" i="8" s="1"/>
  <c r="S8" i="8"/>
  <c r="T8" i="8" s="1"/>
  <c r="S9" i="8"/>
  <c r="T9" i="8" s="1"/>
  <c r="S10" i="8"/>
  <c r="T10" i="8" s="1"/>
  <c r="S11" i="8"/>
  <c r="T11" i="8" s="1"/>
  <c r="S12" i="8"/>
  <c r="T12" i="8" s="1"/>
  <c r="S14" i="8"/>
  <c r="T14" i="8"/>
  <c r="S15" i="8"/>
  <c r="T15" i="8"/>
  <c r="S16" i="8"/>
  <c r="T16" i="8"/>
  <c r="S17" i="8"/>
  <c r="T17" i="8"/>
  <c r="S18" i="8"/>
  <c r="T18" i="8"/>
  <c r="S13" i="8"/>
  <c r="T13" i="8"/>
  <c r="S19" i="8"/>
  <c r="T19" i="8"/>
  <c r="S20" i="8"/>
  <c r="T20" i="8" s="1"/>
  <c r="S3" i="7"/>
  <c r="T3" i="7"/>
  <c r="S4" i="7"/>
  <c r="T4" i="7"/>
  <c r="S5" i="7"/>
  <c r="T5" i="7"/>
  <c r="S6" i="7"/>
  <c r="T6" i="7"/>
  <c r="S7" i="7"/>
  <c r="T7" i="7"/>
  <c r="S8" i="7"/>
  <c r="T8" i="7"/>
  <c r="S9" i="7"/>
  <c r="T9" i="7"/>
  <c r="S10" i="7"/>
  <c r="T10" i="7" s="1"/>
  <c r="S11" i="7"/>
  <c r="T11" i="7" s="1"/>
  <c r="S12" i="7"/>
  <c r="T12" i="7"/>
  <c r="S13" i="7"/>
  <c r="T13" i="7"/>
  <c r="S14" i="7"/>
  <c r="T14" i="7"/>
  <c r="S15" i="7"/>
  <c r="T15" i="7"/>
  <c r="S16" i="7"/>
  <c r="T16" i="7" s="1"/>
  <c r="S17" i="7"/>
  <c r="T17" i="7"/>
  <c r="S18" i="7"/>
  <c r="T18" i="7" s="1"/>
  <c r="S19" i="7"/>
  <c r="T19" i="7" s="1"/>
  <c r="T4" i="6" l="1"/>
  <c r="T5" i="6"/>
  <c r="T6" i="6"/>
  <c r="T7" i="6"/>
  <c r="T8" i="6"/>
  <c r="T9" i="6"/>
  <c r="S3" i="6"/>
  <c r="T3" i="6" s="1"/>
  <c r="T10" i="6" s="1"/>
  <c r="S4" i="6"/>
  <c r="S5" i="6"/>
  <c r="S6" i="6"/>
  <c r="S7" i="6"/>
  <c r="S8" i="6"/>
  <c r="S9" i="6"/>
  <c r="T13" i="5"/>
  <c r="S3" i="5"/>
  <c r="T3" i="5"/>
  <c r="S4" i="5"/>
  <c r="T4" i="5"/>
  <c r="S5" i="5"/>
  <c r="T5" i="5"/>
  <c r="S6" i="5"/>
  <c r="T6" i="5"/>
  <c r="S7" i="5"/>
  <c r="T7" i="5"/>
  <c r="S8" i="5"/>
  <c r="T8" i="5"/>
  <c r="S9" i="5"/>
  <c r="T9" i="5"/>
  <c r="S10" i="5"/>
  <c r="T10" i="5"/>
  <c r="S11" i="5"/>
  <c r="T11" i="5"/>
  <c r="S12" i="5"/>
  <c r="T12" i="5"/>
  <c r="S2" i="9"/>
  <c r="T2" i="9" s="1"/>
  <c r="S2" i="8"/>
  <c r="T2" i="8" s="1"/>
  <c r="T22" i="8" s="1"/>
  <c r="S2" i="7"/>
  <c r="T2" i="7" s="1"/>
  <c r="T20" i="7" s="1"/>
  <c r="T2" i="6"/>
  <c r="S2" i="6"/>
  <c r="S2" i="5"/>
  <c r="T2" i="5" s="1"/>
  <c r="S3" i="4"/>
  <c r="T3" i="4" s="1"/>
  <c r="S4" i="4"/>
  <c r="T4" i="4" s="1"/>
  <c r="S5" i="4"/>
  <c r="T5" i="4"/>
  <c r="S6" i="4"/>
  <c r="T6" i="4" s="1"/>
  <c r="S7" i="4"/>
  <c r="T7" i="4" s="1"/>
  <c r="T26" i="4" s="1"/>
  <c r="S8" i="4"/>
  <c r="T8" i="4" s="1"/>
  <c r="S9" i="4"/>
  <c r="T9" i="4"/>
  <c r="S10" i="4"/>
  <c r="T10" i="4"/>
  <c r="S11" i="4"/>
  <c r="T11" i="4" s="1"/>
  <c r="S12" i="4"/>
  <c r="T12" i="4"/>
  <c r="S13" i="4"/>
  <c r="T13" i="4"/>
  <c r="S14" i="4"/>
  <c r="T14" i="4" s="1"/>
  <c r="S15" i="4"/>
  <c r="T15" i="4" s="1"/>
  <c r="S16" i="4"/>
  <c r="T16" i="4"/>
  <c r="S17" i="4"/>
  <c r="T17" i="4" s="1"/>
  <c r="S18" i="4"/>
  <c r="T18" i="4"/>
  <c r="S19" i="4"/>
  <c r="T19" i="4"/>
  <c r="S20" i="4"/>
  <c r="T20" i="4"/>
  <c r="S21" i="4"/>
  <c r="T21" i="4"/>
  <c r="S22" i="4"/>
  <c r="T22" i="4"/>
  <c r="S23" i="4"/>
  <c r="T23" i="4"/>
  <c r="S24" i="4"/>
  <c r="T24" i="4"/>
  <c r="S25" i="4"/>
  <c r="T25" i="4" s="1"/>
  <c r="S2" i="4"/>
  <c r="T2" i="4" s="1"/>
  <c r="S2" i="2"/>
  <c r="T2" i="2" s="1"/>
  <c r="J4" i="9"/>
  <c r="L4" i="9"/>
  <c r="L3" i="9"/>
  <c r="L2" i="9"/>
  <c r="J3" i="9"/>
  <c r="I3" i="9"/>
  <c r="I2" i="9"/>
  <c r="J2" i="9" s="1"/>
  <c r="G3" i="9"/>
  <c r="G2" i="9"/>
  <c r="E3" i="9"/>
  <c r="L3" i="8"/>
  <c r="L4" i="8"/>
  <c r="L5" i="8"/>
  <c r="L6" i="8"/>
  <c r="L7" i="8"/>
  <c r="L8" i="8"/>
  <c r="L9" i="8"/>
  <c r="L10" i="8"/>
  <c r="L11" i="8"/>
  <c r="L12" i="8"/>
  <c r="L14" i="8"/>
  <c r="L15" i="8"/>
  <c r="L16" i="8"/>
  <c r="L17" i="8"/>
  <c r="L18" i="8"/>
  <c r="L13" i="8"/>
  <c r="L19" i="8"/>
  <c r="L20" i="8"/>
  <c r="L2" i="8"/>
  <c r="I8" i="8"/>
  <c r="J8" i="8" s="1"/>
  <c r="G3" i="8"/>
  <c r="G4" i="8"/>
  <c r="G5" i="8"/>
  <c r="G6" i="8"/>
  <c r="G7" i="8"/>
  <c r="G8" i="8"/>
  <c r="G9" i="8"/>
  <c r="G10" i="8"/>
  <c r="G11" i="8"/>
  <c r="G12" i="8"/>
  <c r="G14" i="8"/>
  <c r="G15" i="8"/>
  <c r="G16" i="8"/>
  <c r="G17" i="8"/>
  <c r="G18" i="8"/>
  <c r="G13" i="8"/>
  <c r="G19" i="8"/>
  <c r="G20" i="8"/>
  <c r="G2" i="8"/>
  <c r="E20" i="8"/>
  <c r="I20" i="8" s="1"/>
  <c r="J20" i="8" s="1"/>
  <c r="E19" i="8"/>
  <c r="I19" i="8" s="1"/>
  <c r="J19" i="8" s="1"/>
  <c r="E13" i="8"/>
  <c r="I13" i="8" s="1"/>
  <c r="J13" i="8" s="1"/>
  <c r="E18" i="8"/>
  <c r="I18" i="8" s="1"/>
  <c r="J18" i="8" s="1"/>
  <c r="E17" i="8"/>
  <c r="I17" i="8" s="1"/>
  <c r="J17" i="8" s="1"/>
  <c r="E16" i="8"/>
  <c r="I16" i="8" s="1"/>
  <c r="J16" i="8" s="1"/>
  <c r="E15" i="8"/>
  <c r="I15" i="8" s="1"/>
  <c r="J15" i="8" s="1"/>
  <c r="E14" i="8"/>
  <c r="I14" i="8" s="1"/>
  <c r="J14" i="8" s="1"/>
  <c r="E12" i="8"/>
  <c r="I12" i="8" s="1"/>
  <c r="J12" i="8" s="1"/>
  <c r="E11" i="8"/>
  <c r="I11" i="8" s="1"/>
  <c r="J11" i="8" s="1"/>
  <c r="E10" i="8"/>
  <c r="I10" i="8" s="1"/>
  <c r="J10" i="8" s="1"/>
  <c r="E9" i="8"/>
  <c r="I9" i="8" s="1"/>
  <c r="J9" i="8" s="1"/>
  <c r="E8" i="8"/>
  <c r="E7" i="8"/>
  <c r="I7" i="8" s="1"/>
  <c r="J7" i="8" s="1"/>
  <c r="E6" i="8"/>
  <c r="I6" i="8" s="1"/>
  <c r="J6" i="8" s="1"/>
  <c r="E5" i="8"/>
  <c r="I5" i="8" s="1"/>
  <c r="J5" i="8" s="1"/>
  <c r="E4" i="8"/>
  <c r="I4" i="8" s="1"/>
  <c r="J4" i="8" s="1"/>
  <c r="E3" i="8"/>
  <c r="I3" i="8" s="1"/>
  <c r="J3" i="8" s="1"/>
  <c r="E2" i="8"/>
  <c r="I2" i="8" s="1"/>
  <c r="J2" i="8" s="1"/>
  <c r="I3" i="7"/>
  <c r="I2" i="7"/>
  <c r="J2" i="7"/>
  <c r="L2" i="5"/>
  <c r="L13" i="5" s="1"/>
  <c r="J13" i="5"/>
  <c r="J20" i="7"/>
  <c r="J10" i="6"/>
  <c r="J26" i="4"/>
  <c r="J12" i="2"/>
  <c r="L12" i="2"/>
  <c r="L3" i="2"/>
  <c r="L4" i="2"/>
  <c r="L5" i="2"/>
  <c r="L6" i="2"/>
  <c r="L7" i="2"/>
  <c r="L8" i="2"/>
  <c r="L9" i="2"/>
  <c r="L10" i="2"/>
  <c r="L11" i="2"/>
  <c r="L3" i="5"/>
  <c r="L4" i="5"/>
  <c r="L5" i="5"/>
  <c r="L6" i="5"/>
  <c r="L7" i="5"/>
  <c r="L8" i="5"/>
  <c r="L9" i="5"/>
  <c r="L10" i="5"/>
  <c r="L11" i="5"/>
  <c r="L12" i="5"/>
  <c r="L10" i="6"/>
  <c r="L3" i="6"/>
  <c r="L4" i="6"/>
  <c r="L5" i="6"/>
  <c r="L6" i="6"/>
  <c r="L7" i="6"/>
  <c r="L8" i="6"/>
  <c r="L9" i="6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" i="7"/>
  <c r="L2" i="6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" i="4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" i="7"/>
  <c r="G2" i="6"/>
  <c r="G3" i="5"/>
  <c r="G4" i="5"/>
  <c r="G5" i="5"/>
  <c r="G6" i="5"/>
  <c r="G7" i="5"/>
  <c r="G8" i="5"/>
  <c r="G9" i="5"/>
  <c r="G10" i="5"/>
  <c r="G11" i="5"/>
  <c r="G12" i="5"/>
  <c r="G2" i="5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" i="1"/>
  <c r="G3" i="2"/>
  <c r="G4" i="2"/>
  <c r="G5" i="2"/>
  <c r="G6" i="2"/>
  <c r="G7" i="2"/>
  <c r="G8" i="2"/>
  <c r="G9" i="2"/>
  <c r="G10" i="2"/>
  <c r="G11" i="2"/>
  <c r="G2" i="2"/>
  <c r="I2" i="2"/>
  <c r="E2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J3" i="6"/>
  <c r="J4" i="6"/>
  <c r="J5" i="6"/>
  <c r="J6" i="6"/>
  <c r="J7" i="6"/>
  <c r="J8" i="6"/>
  <c r="J9" i="6"/>
  <c r="I3" i="6"/>
  <c r="I4" i="6"/>
  <c r="I5" i="6"/>
  <c r="I6" i="6"/>
  <c r="I7" i="6"/>
  <c r="I8" i="6"/>
  <c r="I9" i="6"/>
  <c r="J2" i="6"/>
  <c r="I2" i="6"/>
  <c r="G3" i="6"/>
  <c r="G4" i="6"/>
  <c r="G5" i="6"/>
  <c r="G6" i="6"/>
  <c r="G7" i="6"/>
  <c r="G8" i="6"/>
  <c r="G9" i="6"/>
  <c r="E9" i="6"/>
  <c r="E8" i="6"/>
  <c r="E7" i="6"/>
  <c r="E6" i="6"/>
  <c r="E5" i="6"/>
  <c r="E4" i="6"/>
  <c r="E3" i="6"/>
  <c r="E2" i="6"/>
  <c r="J3" i="5"/>
  <c r="J4" i="5"/>
  <c r="J5" i="5"/>
  <c r="J6" i="5"/>
  <c r="J7" i="5"/>
  <c r="J8" i="5"/>
  <c r="J9" i="5"/>
  <c r="J10" i="5"/>
  <c r="J11" i="5"/>
  <c r="J12" i="5"/>
  <c r="I3" i="5"/>
  <c r="I4" i="5"/>
  <c r="I5" i="5"/>
  <c r="I6" i="5"/>
  <c r="I7" i="5"/>
  <c r="I8" i="5"/>
  <c r="I9" i="5"/>
  <c r="I10" i="5"/>
  <c r="I11" i="5"/>
  <c r="I12" i="5"/>
  <c r="J2" i="5"/>
  <c r="I2" i="5"/>
  <c r="E2" i="5"/>
  <c r="E12" i="5"/>
  <c r="E11" i="5"/>
  <c r="E10" i="5"/>
  <c r="E9" i="5"/>
  <c r="E8" i="5"/>
  <c r="E7" i="5"/>
  <c r="E6" i="5"/>
  <c r="E5" i="5"/>
  <c r="E4" i="5"/>
  <c r="E3" i="5"/>
  <c r="J6" i="4"/>
  <c r="J7" i="4"/>
  <c r="J16" i="4"/>
  <c r="J17" i="4"/>
  <c r="I4" i="4"/>
  <c r="J4" i="4" s="1"/>
  <c r="I6" i="4"/>
  <c r="I7" i="4"/>
  <c r="I8" i="4"/>
  <c r="J8" i="4" s="1"/>
  <c r="I12" i="4"/>
  <c r="J12" i="4" s="1"/>
  <c r="I14" i="4"/>
  <c r="J14" i="4" s="1"/>
  <c r="I16" i="4"/>
  <c r="I17" i="4"/>
  <c r="I18" i="4"/>
  <c r="J18" i="4" s="1"/>
  <c r="I22" i="4"/>
  <c r="J22" i="4" s="1"/>
  <c r="I24" i="4"/>
  <c r="J24" i="4" s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" i="4"/>
  <c r="E5" i="4"/>
  <c r="I5" i="4" s="1"/>
  <c r="J5" i="4" s="1"/>
  <c r="E25" i="4"/>
  <c r="I25" i="4" s="1"/>
  <c r="J25" i="4" s="1"/>
  <c r="E24" i="4"/>
  <c r="E23" i="4"/>
  <c r="I23" i="4" s="1"/>
  <c r="J23" i="4" s="1"/>
  <c r="E22" i="4"/>
  <c r="E21" i="4"/>
  <c r="I21" i="4" s="1"/>
  <c r="J21" i="4" s="1"/>
  <c r="E20" i="4"/>
  <c r="I20" i="4" s="1"/>
  <c r="J20" i="4" s="1"/>
  <c r="E19" i="4"/>
  <c r="I19" i="4" s="1"/>
  <c r="J19" i="4" s="1"/>
  <c r="E18" i="4"/>
  <c r="E17" i="4"/>
  <c r="E16" i="4"/>
  <c r="E15" i="4"/>
  <c r="I15" i="4" s="1"/>
  <c r="J15" i="4" s="1"/>
  <c r="E14" i="4"/>
  <c r="E13" i="4"/>
  <c r="I13" i="4" s="1"/>
  <c r="J13" i="4" s="1"/>
  <c r="E12" i="4"/>
  <c r="E11" i="4"/>
  <c r="I11" i="4" s="1"/>
  <c r="J11" i="4" s="1"/>
  <c r="E10" i="4"/>
  <c r="I10" i="4" s="1"/>
  <c r="J10" i="4" s="1"/>
  <c r="E9" i="4"/>
  <c r="I9" i="4" s="1"/>
  <c r="J9" i="4" s="1"/>
  <c r="E8" i="4"/>
  <c r="E7" i="4"/>
  <c r="E6" i="4"/>
  <c r="E4" i="4"/>
  <c r="E3" i="4"/>
  <c r="I3" i="4" s="1"/>
  <c r="J3" i="4" s="1"/>
  <c r="E2" i="4"/>
  <c r="I2" i="4" s="1"/>
  <c r="J2" i="4" s="1"/>
  <c r="J3" i="2"/>
  <c r="J6" i="2"/>
  <c r="J7" i="2"/>
  <c r="J8" i="2"/>
  <c r="J9" i="2"/>
  <c r="J10" i="2"/>
  <c r="J11" i="2"/>
  <c r="I3" i="2"/>
  <c r="I4" i="2"/>
  <c r="J4" i="2" s="1"/>
  <c r="I5" i="2"/>
  <c r="J5" i="2" s="1"/>
  <c r="I6" i="2"/>
  <c r="I7" i="2"/>
  <c r="I8" i="2"/>
  <c r="I9" i="2"/>
  <c r="I10" i="2"/>
  <c r="I11" i="2"/>
  <c r="L2" i="2"/>
  <c r="E2" i="2"/>
  <c r="J2" i="2" s="1"/>
  <c r="E11" i="2"/>
  <c r="E9" i="2"/>
  <c r="J22" i="8" l="1"/>
  <c r="L22" i="8"/>
  <c r="L20" i="7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" i="1"/>
  <c r="S3" i="1"/>
  <c r="T3" i="1" s="1"/>
  <c r="S4" i="1"/>
  <c r="T4" i="1" s="1"/>
  <c r="S5" i="1"/>
  <c r="T5" i="1" s="1"/>
  <c r="S6" i="1"/>
  <c r="T6" i="1" s="1"/>
  <c r="T7" i="1"/>
  <c r="S8" i="1"/>
  <c r="T8" i="1" s="1"/>
  <c r="S9" i="1"/>
  <c r="T9" i="1" s="1"/>
  <c r="S10" i="1"/>
  <c r="T10" i="1" s="1"/>
  <c r="S11" i="1"/>
  <c r="T11" i="1" s="1"/>
  <c r="S12" i="1"/>
  <c r="T12" i="1" s="1"/>
  <c r="S13" i="1"/>
  <c r="T13" i="1" s="1"/>
  <c r="S14" i="1"/>
  <c r="T14" i="1" s="1"/>
  <c r="S15" i="1"/>
  <c r="T15" i="1" s="1"/>
  <c r="S16" i="1"/>
  <c r="T16" i="1" s="1"/>
  <c r="S17" i="1"/>
  <c r="T17" i="1" s="1"/>
  <c r="S18" i="1"/>
  <c r="T18" i="1" s="1"/>
  <c r="S19" i="1"/>
  <c r="T19" i="1" s="1"/>
  <c r="S20" i="1"/>
  <c r="T20" i="1" s="1"/>
  <c r="S21" i="1"/>
  <c r="T21" i="1" s="1"/>
  <c r="S22" i="1"/>
  <c r="T22" i="1" s="1"/>
  <c r="S2" i="1"/>
  <c r="T2" i="1" s="1"/>
  <c r="I4" i="1"/>
  <c r="J4" i="1" s="1"/>
  <c r="I8" i="1"/>
  <c r="J8" i="1" s="1"/>
  <c r="E22" i="1"/>
  <c r="E21" i="1"/>
  <c r="E20" i="1"/>
  <c r="E19" i="1"/>
  <c r="E18" i="1"/>
  <c r="E17" i="1"/>
  <c r="E16" i="1"/>
  <c r="I16" i="1" s="1"/>
  <c r="J16" i="1" s="1"/>
  <c r="E15" i="1"/>
  <c r="I15" i="1" s="1"/>
  <c r="J15" i="1" s="1"/>
  <c r="E14" i="1"/>
  <c r="I14" i="1" s="1"/>
  <c r="J14" i="1" s="1"/>
  <c r="E13" i="1"/>
  <c r="E12" i="1"/>
  <c r="E11" i="1"/>
  <c r="E10" i="1"/>
  <c r="E9" i="1"/>
  <c r="E7" i="1"/>
  <c r="E6" i="1"/>
  <c r="I6" i="1" s="1"/>
  <c r="J6" i="1" s="1"/>
  <c r="E5" i="1"/>
  <c r="I5" i="1" s="1"/>
  <c r="J5" i="1" s="1"/>
  <c r="E3" i="1"/>
  <c r="I3" i="1" s="1"/>
  <c r="J3" i="1" s="1"/>
  <c r="E2" i="1"/>
  <c r="I13" i="1" l="1"/>
  <c r="J13" i="1" s="1"/>
  <c r="L23" i="1"/>
  <c r="T23" i="1"/>
  <c r="I2" i="1"/>
  <c r="J2" i="1" s="1"/>
  <c r="I17" i="1"/>
  <c r="J17" i="1" s="1"/>
  <c r="I7" i="1"/>
  <c r="J7" i="1" s="1"/>
  <c r="I22" i="1"/>
  <c r="J22" i="1" s="1"/>
  <c r="I12" i="1"/>
  <c r="J12" i="1" s="1"/>
  <c r="I21" i="1"/>
  <c r="J21" i="1" s="1"/>
  <c r="I11" i="1"/>
  <c r="J11" i="1" s="1"/>
  <c r="I20" i="1"/>
  <c r="J20" i="1" s="1"/>
  <c r="I10" i="1"/>
  <c r="J10" i="1" s="1"/>
  <c r="I19" i="1"/>
  <c r="J19" i="1" s="1"/>
  <c r="I9" i="1"/>
  <c r="J9" i="1" s="1"/>
  <c r="I18" i="1"/>
  <c r="J18" i="1" s="1"/>
  <c r="J2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tc={BB985143-3781-46BE-ABD7-28A1C90567F4}</author>
  </authors>
  <commentList>
    <comment ref="R21" authorId="0" shapeId="0" xr:uid="{BB985143-3781-46BE-ABD7-28A1C90567F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Hace la operación de acoplar espalda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tc={6893F343-B9AB-476E-BF1F-DDEC41415D5B}</author>
  </authors>
  <commentList>
    <comment ref="Q5" authorId="0" shapeId="0" xr:uid="{6893F343-B9AB-476E-BF1F-DDEC41415D5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Ahí Planchan codo y martillo</t>
      </text>
    </comment>
  </commentList>
</comments>
</file>

<file path=xl/sharedStrings.xml><?xml version="1.0" encoding="utf-8"?>
<sst xmlns="http://schemas.openxmlformats.org/spreadsheetml/2006/main" count="1375" uniqueCount="232">
  <si>
    <t>Delanteros y espaldas</t>
  </si>
  <si>
    <t>Operación</t>
  </si>
  <si>
    <t>T.STD</t>
  </si>
  <si>
    <t>P x H</t>
  </si>
  <si>
    <t>Maq. Nec.</t>
  </si>
  <si>
    <t>Inmision</t>
  </si>
  <si>
    <t>Mesa de inmision</t>
  </si>
  <si>
    <t>Marcar muescas y CURVAS</t>
  </si>
  <si>
    <t>Mesa de madera</t>
  </si>
  <si>
    <t>Coser pinza</t>
  </si>
  <si>
    <t xml:space="preserve">Maquina recta </t>
  </si>
  <si>
    <t xml:space="preserve">Coser costadillo </t>
  </si>
  <si>
    <t>Maquina recta</t>
  </si>
  <si>
    <t xml:space="preserve">Planchar pinza y costadillo </t>
  </si>
  <si>
    <t>Plancha prensa</t>
  </si>
  <si>
    <t xml:space="preserve">Marcar Posición de aletilla </t>
  </si>
  <si>
    <t>Mesa de trabajo</t>
  </si>
  <si>
    <t>Maquina automatica</t>
  </si>
  <si>
    <t xml:space="preserve">Picar vivos </t>
  </si>
  <si>
    <t>Plantar aletilla</t>
  </si>
  <si>
    <t xml:space="preserve">Rematar aletilla </t>
  </si>
  <si>
    <t>Maquina zig-zag</t>
  </si>
  <si>
    <t>Planchar vivos</t>
  </si>
  <si>
    <t>Plancha de aspiracion</t>
  </si>
  <si>
    <t xml:space="preserve">Cabecear y cerrar bol. Vivos </t>
  </si>
  <si>
    <t xml:space="preserve">Afianzar bolsa  y marcar posic. ojal </t>
  </si>
  <si>
    <t xml:space="preserve">Colocar plastron </t>
  </si>
  <si>
    <t xml:space="preserve">Plancha de aspiracion </t>
  </si>
  <si>
    <t xml:space="preserve">Planchar delanteros </t>
  </si>
  <si>
    <t>Recortar plastron</t>
  </si>
  <si>
    <t xml:space="preserve">Coser escota sisa </t>
  </si>
  <si>
    <t>Maquina cadeneta</t>
  </si>
  <si>
    <t>Coser cen. Esp.</t>
  </si>
  <si>
    <t>Coser escota sisa espa.</t>
  </si>
  <si>
    <t>Fijar escota plastron</t>
  </si>
  <si>
    <t>Maquina BLIND STITCH</t>
  </si>
  <si>
    <t>Acoplar  espaldas y Del.</t>
  </si>
  <si>
    <t>Sección</t>
  </si>
  <si>
    <t>Tipo de Maquina</t>
  </si>
  <si>
    <t>Manual</t>
  </si>
  <si>
    <t>Costurero</t>
  </si>
  <si>
    <t>Planchador</t>
  </si>
  <si>
    <t>#</t>
  </si>
  <si>
    <t>Jornada</t>
  </si>
  <si>
    <t>Prenda X Día</t>
  </si>
  <si>
    <t>Objetivo Día</t>
  </si>
  <si>
    <t>Horas Nec.</t>
  </si>
  <si>
    <t>Personal Nec.</t>
  </si>
  <si>
    <t>Clasificación</t>
  </si>
  <si>
    <t>Departamento</t>
  </si>
  <si>
    <t>Sacos</t>
  </si>
  <si>
    <t>Comparativa</t>
  </si>
  <si>
    <t>Perspectiva Españoles</t>
  </si>
  <si>
    <t>P.Real</t>
  </si>
  <si>
    <t>Sin</t>
  </si>
  <si>
    <t>Desaparece</t>
  </si>
  <si>
    <t>Plantar vivos con Cartera</t>
  </si>
  <si>
    <t>SIn</t>
  </si>
  <si>
    <t>Analizar</t>
  </si>
  <si>
    <t>Eliminar</t>
  </si>
  <si>
    <t>Arriba</t>
  </si>
  <si>
    <t>Personal Real</t>
  </si>
  <si>
    <t>Planchar aletilla</t>
  </si>
  <si>
    <t>AMF de aletilla</t>
  </si>
  <si>
    <t>Japsew</t>
  </si>
  <si>
    <t>Automatica</t>
  </si>
  <si>
    <t>Planchar cartera</t>
  </si>
  <si>
    <t xml:space="preserve">AMF de cartera </t>
  </si>
  <si>
    <t>Cazar cartera cuadro</t>
  </si>
  <si>
    <t>Cazar aletilla cuadro</t>
  </si>
  <si>
    <t>Troquelar aletilla cuadro</t>
  </si>
  <si>
    <t>Troqueladora</t>
  </si>
  <si>
    <t>Piezas Chica</t>
  </si>
  <si>
    <t>Recazar Cartera Cuadro</t>
  </si>
  <si>
    <t>Troquelar Cartera Cuadro</t>
  </si>
  <si>
    <t>Coser cartera</t>
  </si>
  <si>
    <t>Maquina Recta</t>
  </si>
  <si>
    <t>Coser vista c/chapeta y pipe</t>
  </si>
  <si>
    <t>Pespunte ping pond c/chapeta</t>
  </si>
  <si>
    <t>Pin pon</t>
  </si>
  <si>
    <t>Planchar paloma</t>
  </si>
  <si>
    <t>Hacer ojal a paloma</t>
  </si>
  <si>
    <t>Plantar vivos cig.</t>
  </si>
  <si>
    <t>Vivo de pecho, poner paloma</t>
  </si>
  <si>
    <t>Maquina de vivo</t>
  </si>
  <si>
    <t>Pegar etiqueta</t>
  </si>
  <si>
    <t>Cabecear y cerrar bolsa</t>
  </si>
  <si>
    <t>Coser centro espalda</t>
  </si>
  <si>
    <t>Cerrar costados</t>
  </si>
  <si>
    <t>Planchar forro</t>
  </si>
  <si>
    <t>Plancha de aspiracion propia</t>
  </si>
  <si>
    <t>Colocar escota</t>
  </si>
  <si>
    <t>Blind stich</t>
  </si>
  <si>
    <t>Coser Hombro</t>
  </si>
  <si>
    <t>Coser cuello vistas</t>
  </si>
  <si>
    <t>Coser caja de cuello</t>
  </si>
  <si>
    <t>Pegar mangas</t>
  </si>
  <si>
    <t>Tipo de brazo</t>
  </si>
  <si>
    <t>Colgar forro</t>
  </si>
  <si>
    <t>Vistas</t>
  </si>
  <si>
    <t>Saco</t>
  </si>
  <si>
    <t>Desgobernar manga mayor</t>
  </si>
  <si>
    <t xml:space="preserve">Plancha prensa </t>
  </si>
  <si>
    <t xml:space="preserve">Hacer ojales de manga </t>
  </si>
  <si>
    <t xml:space="preserve">Confeccionar codo </t>
  </si>
  <si>
    <t>Planchar codo</t>
  </si>
  <si>
    <t xml:space="preserve">Plancha Manual </t>
  </si>
  <si>
    <t xml:space="preserve">Confeccionar Angulo </t>
  </si>
  <si>
    <t xml:space="preserve">Planchar Angulo </t>
  </si>
  <si>
    <t>Afianzar angulo</t>
  </si>
  <si>
    <t>Pegar boton</t>
  </si>
  <si>
    <t>Cerrar entremanga</t>
  </si>
  <si>
    <t>Abrir costura de entremanga</t>
  </si>
  <si>
    <t xml:space="preserve">Plancha manual </t>
  </si>
  <si>
    <t>Apuntar fondo y voltear manga</t>
  </si>
  <si>
    <t>Presilladora mecanica</t>
  </si>
  <si>
    <t>Botonadora</t>
  </si>
  <si>
    <t>Mangas</t>
  </si>
  <si>
    <t>Coser escota a fieltro</t>
  </si>
  <si>
    <t>coser pocketing</t>
  </si>
  <si>
    <t>zigzag</t>
  </si>
  <si>
    <t xml:space="preserve">Coser pie de cuellos a tapa </t>
  </si>
  <si>
    <t>unir tapa a fieltro</t>
  </si>
  <si>
    <t>Zig Zag</t>
  </si>
  <si>
    <t>cerrar cuello</t>
  </si>
  <si>
    <t xml:space="preserve"> Planchar cuello</t>
  </si>
  <si>
    <t>Placha de aspiracion</t>
  </si>
  <si>
    <t>Medir cuello</t>
  </si>
  <si>
    <t>marcar y afinar cuello</t>
  </si>
  <si>
    <t>Mesa de Trabajo</t>
  </si>
  <si>
    <t>Cuellos</t>
  </si>
  <si>
    <t>Ensamble</t>
  </si>
  <si>
    <t>Coser costado</t>
  </si>
  <si>
    <t>Medir cintura</t>
  </si>
  <si>
    <t xml:space="preserve">Planchar costado </t>
  </si>
  <si>
    <t xml:space="preserve">Planchar fajilla </t>
  </si>
  <si>
    <t>Planchar hombros</t>
  </si>
  <si>
    <t>Acortamiento caja cuello</t>
  </si>
  <si>
    <t>Coser dispuesta</t>
  </si>
  <si>
    <t>Acoplar mangas</t>
  </si>
  <si>
    <t>maquina especial de poste</t>
  </si>
  <si>
    <t>Planchar sisa</t>
  </si>
  <si>
    <t>Plancha manual</t>
  </si>
  <si>
    <t>Coser hombrera</t>
  </si>
  <si>
    <t>Coser caida</t>
  </si>
  <si>
    <t xml:space="preserve">Tipo de brazo </t>
  </si>
  <si>
    <t xml:space="preserve">Acoplar forro con delantero </t>
  </si>
  <si>
    <t>Maquina de Recta</t>
  </si>
  <si>
    <t>Bajada de cuelllo en zigzag</t>
  </si>
  <si>
    <t>Engrapado</t>
  </si>
  <si>
    <t xml:space="preserve">Coser muesca </t>
  </si>
  <si>
    <t>Terminado</t>
  </si>
  <si>
    <t>Quitar foleo y dar piquete a cuello</t>
  </si>
  <si>
    <t xml:space="preserve">Abrir costura de filos </t>
  </si>
  <si>
    <t>Hacer aberturas</t>
  </si>
  <si>
    <t>Taladrar fajilla</t>
  </si>
  <si>
    <t>Planchar abertura</t>
  </si>
  <si>
    <t>Desbordar filo y planchar espejo</t>
  </si>
  <si>
    <t>Plancha Aspiracion</t>
  </si>
  <si>
    <t>Afianzar cuello</t>
  </si>
  <si>
    <t>Planchar vistas de solapa</t>
  </si>
  <si>
    <t>Plancha Prensa</t>
  </si>
  <si>
    <t xml:space="preserve">Marcar posicion de ojales </t>
  </si>
  <si>
    <t>Hacer ojales delanteros y solapa</t>
  </si>
  <si>
    <t>Afianzar forro a sisa</t>
  </si>
  <si>
    <t>Especial</t>
  </si>
  <si>
    <t>Coser puño</t>
  </si>
  <si>
    <t xml:space="preserve">Coser pespunte en la abertura </t>
  </si>
  <si>
    <t>Cerrar sangria</t>
  </si>
  <si>
    <t>Revisar y deshebrar antes del planchado</t>
  </si>
  <si>
    <t>Aditamento Especial</t>
  </si>
  <si>
    <t>Pespunte AMF</t>
  </si>
  <si>
    <t>Limpiar pespunte</t>
  </si>
  <si>
    <t>AMF</t>
  </si>
  <si>
    <t>Objetivo Españoles</t>
  </si>
  <si>
    <t>Presilla Media Luna</t>
  </si>
  <si>
    <t>Costadillo Sin Sobaquera</t>
  </si>
  <si>
    <t>Coser Manga de Forro</t>
  </si>
  <si>
    <t>Coser Seña talla a Etiqueta</t>
  </si>
  <si>
    <t>Plantar vivos Plumero</t>
  </si>
  <si>
    <t>SIN</t>
  </si>
  <si>
    <t>42 (3 bolsas)</t>
  </si>
  <si>
    <t>Revisar</t>
  </si>
  <si>
    <t xml:space="preserve">Coser hombros </t>
  </si>
  <si>
    <t>Siin</t>
  </si>
  <si>
    <t>Coser filo</t>
  </si>
  <si>
    <t>Forrar fajilla</t>
  </si>
  <si>
    <t>Marcar posicion de vivos y Colgar Forro</t>
  </si>
  <si>
    <t>Colgadera</t>
  </si>
  <si>
    <t>Zig-Zag</t>
  </si>
  <si>
    <t>T.Std</t>
  </si>
  <si>
    <t>T.Estandar</t>
  </si>
  <si>
    <t>P X Hora</t>
  </si>
  <si>
    <t>Fijar escota y acopla Espalda</t>
  </si>
  <si>
    <t>pXH</t>
  </si>
  <si>
    <t>T.St</t>
  </si>
  <si>
    <t>Españoles</t>
  </si>
  <si>
    <t>Bajada de cuelllo en Zig-Zag</t>
  </si>
  <si>
    <t xml:space="preserve"> Españoles</t>
  </si>
  <si>
    <t>Escalfar filos</t>
  </si>
  <si>
    <t>Voltear saco y Quitar Foleos</t>
  </si>
  <si>
    <t>Planchar cuello y Fajilla</t>
  </si>
  <si>
    <t>t.Std</t>
  </si>
  <si>
    <t>t.std</t>
  </si>
  <si>
    <t>Coser pocketing</t>
  </si>
  <si>
    <t>Unir tapa a fieltro</t>
  </si>
  <si>
    <t>Cerrar cuello</t>
  </si>
  <si>
    <t>Marcar y afinar cuello</t>
  </si>
  <si>
    <t xml:space="preserve">Departamento </t>
  </si>
  <si>
    <t>Línea</t>
  </si>
  <si>
    <t>Principal</t>
  </si>
  <si>
    <t>Secundaría</t>
  </si>
  <si>
    <t>Plancha Final</t>
  </si>
  <si>
    <t xml:space="preserve">Planchar filos </t>
  </si>
  <si>
    <t>Planchar espalda</t>
  </si>
  <si>
    <t xml:space="preserve">plancha prensa </t>
  </si>
  <si>
    <t xml:space="preserve">Planchar cuello y solapa </t>
  </si>
  <si>
    <t>Collar master</t>
  </si>
  <si>
    <t xml:space="preserve">planchar hombros </t>
  </si>
  <si>
    <t xml:space="preserve">Marcar botones </t>
  </si>
  <si>
    <t>Pegar boton de paloma</t>
  </si>
  <si>
    <t>Maquina de boton</t>
  </si>
  <si>
    <t>Pegar botones delanteros</t>
  </si>
  <si>
    <t>Botonera</t>
  </si>
  <si>
    <t>A MANO</t>
  </si>
  <si>
    <t xml:space="preserve">Quebrar sisa </t>
  </si>
  <si>
    <t>Planchar bocamangas</t>
  </si>
  <si>
    <t>Planchar solapa</t>
  </si>
  <si>
    <t>Bloquear cabeza de manga</t>
  </si>
  <si>
    <t xml:space="preserve">Retoque final </t>
  </si>
  <si>
    <t>T.Standar</t>
  </si>
  <si>
    <t>Partes Separadas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</si>
</sst>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9" fontId="2" fillId="0" borderId="1" xfId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/>
    </xf>
    <xf numFmtId="1" fontId="2" fillId="0" borderId="1" xfId="1" applyNumberFormat="1" applyFont="1" applyFill="1" applyBorder="1" applyAlignment="1">
      <alignment horizontal="center" vertical="center"/>
    </xf>
    <xf numFmtId="1" fontId="2" fillId="0" borderId="1" xfId="2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1" fontId="3" fillId="0" borderId="1" xfId="1" applyNumberFormat="1" applyFont="1" applyFill="1" applyBorder="1" applyAlignment="1">
      <alignment horizontal="center" vertical="center"/>
    </xf>
    <xf numFmtId="2" fontId="0" fillId="0" borderId="0" xfId="0" applyNumberFormat="1"/>
    <xf numFmtId="2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7" fillId="0" borderId="1" xfId="0" applyFont="1" applyBorder="1" applyAlignment="1">
      <alignment horizontal="center"/>
    </xf>
    <xf numFmtId="9" fontId="2" fillId="2" borderId="1" xfId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3">
    <cellStyle name="Moneda 2" xfId="2" xr:uid="{A4820094-2A80-4638-9CF5-BCA23D770326}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ng. Jorge Enrique Piñan" id="{BF8AB485-27BA-414B-A5BF-4D2E156D60F7}" userId="6854fe02b8d1ccae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21" dT="2026-01-19T19:28:39.30" personId="{BF8AB485-27BA-414B-A5BF-4D2E156D60F7}" id="{BB985143-3781-46BE-ABD7-28A1C90567F4}">
    <text>Hace la operación de acoplar espalda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5" dT="2026-01-16T18:25:05.48" personId="{BF8AB485-27BA-414B-A5BF-4D2E156D60F7}" id="{6893F343-B9AB-476E-BF1F-DDEC41415D5B}">
    <text>Ahí Planchan codo y martillo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31945-76D8-45D7-B17F-BDD83787C3EA}">
  <sheetPr>
    <tabColor theme="9" tint="0.79998168889431442"/>
  </sheetPr>
  <dimension ref="A1:G129"/>
  <sheetViews>
    <sheetView tabSelected="1" topLeftCell="A104" zoomScaleNormal="100" workbookViewId="0">
      <selection activeCell="C127" sqref="C127"/>
    </sheetView>
  </sheetViews>
  <sheetFormatPr baseColWidth="10" defaultRowHeight="14.5" x14ac:dyDescent="0.35"/>
  <cols>
    <col min="1" max="1" width="4.08984375" style="1" bestFit="1" customWidth="1"/>
    <col min="2" max="2" width="34.7265625" style="1" bestFit="1" customWidth="1"/>
    <col min="3" max="3" width="9.7265625" style="1" bestFit="1" customWidth="1"/>
    <col min="4" max="4" width="7.81640625" style="1" bestFit="1" customWidth="1"/>
    <col min="5" max="5" width="19.08984375" style="1" bestFit="1" customWidth="1"/>
    <col min="6" max="6" width="13.453125" style="1" bestFit="1" customWidth="1"/>
    <col min="7" max="7" width="10" style="1" bestFit="1" customWidth="1"/>
    <col min="8" max="16384" width="10.90625" style="1"/>
  </cols>
  <sheetData>
    <row r="1" spans="1:7" ht="15.5" x14ac:dyDescent="0.35">
      <c r="A1" s="49" t="s">
        <v>42</v>
      </c>
      <c r="B1" s="50" t="s">
        <v>1</v>
      </c>
      <c r="C1" s="51" t="s">
        <v>191</v>
      </c>
      <c r="D1" s="51" t="s">
        <v>192</v>
      </c>
      <c r="E1" s="13" t="s">
        <v>37</v>
      </c>
      <c r="F1" s="13" t="s">
        <v>208</v>
      </c>
      <c r="G1" s="13" t="s">
        <v>209</v>
      </c>
    </row>
    <row r="2" spans="1:7" ht="15.5" x14ac:dyDescent="0.35">
      <c r="A2" s="49">
        <v>1</v>
      </c>
      <c r="B2" s="49" t="s">
        <v>5</v>
      </c>
      <c r="C2" s="52">
        <v>0.45112781954887216</v>
      </c>
      <c r="D2" s="53">
        <f>60/C2</f>
        <v>133</v>
      </c>
      <c r="E2" s="13" t="s">
        <v>0</v>
      </c>
      <c r="F2" s="13" t="s">
        <v>50</v>
      </c>
      <c r="G2" s="13" t="s">
        <v>210</v>
      </c>
    </row>
    <row r="3" spans="1:7" ht="15.5" x14ac:dyDescent="0.35">
      <c r="A3" s="49">
        <v>2</v>
      </c>
      <c r="B3" s="49" t="s">
        <v>7</v>
      </c>
      <c r="C3" s="52">
        <v>0.66666666666666663</v>
      </c>
      <c r="D3" s="53">
        <f t="shared" ref="D3:D20" si="0">60/C3</f>
        <v>90</v>
      </c>
      <c r="E3" s="13" t="s">
        <v>0</v>
      </c>
      <c r="F3" s="13" t="s">
        <v>50</v>
      </c>
      <c r="G3" s="13" t="s">
        <v>210</v>
      </c>
    </row>
    <row r="4" spans="1:7" ht="15.5" x14ac:dyDescent="0.35">
      <c r="A4" s="49">
        <v>3</v>
      </c>
      <c r="B4" s="49" t="s">
        <v>9</v>
      </c>
      <c r="C4" s="52">
        <v>0.63157894736842102</v>
      </c>
      <c r="D4" s="53">
        <f t="shared" si="0"/>
        <v>95</v>
      </c>
      <c r="E4" s="13" t="s">
        <v>0</v>
      </c>
      <c r="F4" s="13" t="s">
        <v>50</v>
      </c>
      <c r="G4" s="13" t="s">
        <v>210</v>
      </c>
    </row>
    <row r="5" spans="1:7" ht="15.5" x14ac:dyDescent="0.35">
      <c r="A5" s="49">
        <v>4</v>
      </c>
      <c r="B5" s="49" t="s">
        <v>11</v>
      </c>
      <c r="C5" s="52">
        <v>1</v>
      </c>
      <c r="D5" s="53">
        <f t="shared" si="0"/>
        <v>60</v>
      </c>
      <c r="E5" s="13" t="s">
        <v>0</v>
      </c>
      <c r="F5" s="13" t="s">
        <v>50</v>
      </c>
      <c r="G5" s="13" t="s">
        <v>210</v>
      </c>
    </row>
    <row r="6" spans="1:7" ht="15.5" x14ac:dyDescent="0.35">
      <c r="A6" s="49">
        <v>5</v>
      </c>
      <c r="B6" s="49" t="s">
        <v>13</v>
      </c>
      <c r="C6" s="52">
        <v>1.2</v>
      </c>
      <c r="D6" s="53">
        <f t="shared" si="0"/>
        <v>50</v>
      </c>
      <c r="E6" s="13" t="s">
        <v>0</v>
      </c>
      <c r="F6" s="13" t="s">
        <v>50</v>
      </c>
      <c r="G6" s="13" t="s">
        <v>210</v>
      </c>
    </row>
    <row r="7" spans="1:7" ht="15.5" x14ac:dyDescent="0.35">
      <c r="A7" s="49">
        <v>6</v>
      </c>
      <c r="B7" s="49" t="s">
        <v>15</v>
      </c>
      <c r="C7" s="52">
        <v>0.47244094488188976</v>
      </c>
      <c r="D7" s="53">
        <f t="shared" si="0"/>
        <v>127</v>
      </c>
      <c r="E7" s="13" t="s">
        <v>0</v>
      </c>
      <c r="F7" s="13" t="s">
        <v>50</v>
      </c>
      <c r="G7" s="13" t="s">
        <v>210</v>
      </c>
    </row>
    <row r="8" spans="1:7" ht="15.5" x14ac:dyDescent="0.35">
      <c r="A8" s="49">
        <v>7</v>
      </c>
      <c r="B8" s="49" t="s">
        <v>56</v>
      </c>
      <c r="C8" s="52">
        <v>0.70588235294117652</v>
      </c>
      <c r="D8" s="53">
        <f t="shared" si="0"/>
        <v>85</v>
      </c>
      <c r="E8" s="13" t="s">
        <v>0</v>
      </c>
      <c r="F8" s="13" t="s">
        <v>50</v>
      </c>
      <c r="G8" s="13" t="s">
        <v>210</v>
      </c>
    </row>
    <row r="9" spans="1:7" ht="15.5" x14ac:dyDescent="0.35">
      <c r="A9" s="49">
        <v>8</v>
      </c>
      <c r="B9" s="49" t="s">
        <v>19</v>
      </c>
      <c r="C9" s="52">
        <v>0.54054054054054057</v>
      </c>
      <c r="D9" s="53">
        <f t="shared" si="0"/>
        <v>111</v>
      </c>
      <c r="E9" s="13" t="s">
        <v>0</v>
      </c>
      <c r="F9" s="13" t="s">
        <v>50</v>
      </c>
      <c r="G9" s="13" t="s">
        <v>210</v>
      </c>
    </row>
    <row r="10" spans="1:7" ht="15.5" x14ac:dyDescent="0.35">
      <c r="A10" s="49">
        <v>9</v>
      </c>
      <c r="B10" s="49" t="s">
        <v>20</v>
      </c>
      <c r="C10" s="52">
        <v>0.66666666666666663</v>
      </c>
      <c r="D10" s="53">
        <f t="shared" si="0"/>
        <v>90</v>
      </c>
      <c r="E10" s="13" t="s">
        <v>0</v>
      </c>
      <c r="F10" s="13" t="s">
        <v>50</v>
      </c>
      <c r="G10" s="13" t="s">
        <v>210</v>
      </c>
    </row>
    <row r="11" spans="1:7" ht="15.5" x14ac:dyDescent="0.35">
      <c r="A11" s="49">
        <v>10</v>
      </c>
      <c r="B11" s="49" t="s">
        <v>22</v>
      </c>
      <c r="C11" s="52">
        <v>0.66666666666666663</v>
      </c>
      <c r="D11" s="53">
        <f t="shared" si="0"/>
        <v>90</v>
      </c>
      <c r="E11" s="13" t="s">
        <v>0</v>
      </c>
      <c r="F11" s="13" t="s">
        <v>50</v>
      </c>
      <c r="G11" s="13" t="s">
        <v>210</v>
      </c>
    </row>
    <row r="12" spans="1:7" ht="15.5" x14ac:dyDescent="0.35">
      <c r="A12" s="49">
        <v>11</v>
      </c>
      <c r="B12" s="49" t="s">
        <v>24</v>
      </c>
      <c r="C12" s="52">
        <v>1.8181818181818181</v>
      </c>
      <c r="D12" s="53">
        <f t="shared" si="0"/>
        <v>33</v>
      </c>
      <c r="E12" s="13" t="s">
        <v>0</v>
      </c>
      <c r="F12" s="13" t="s">
        <v>50</v>
      </c>
      <c r="G12" s="13" t="s">
        <v>210</v>
      </c>
    </row>
    <row r="13" spans="1:7" ht="15.5" x14ac:dyDescent="0.35">
      <c r="A13" s="49">
        <v>12</v>
      </c>
      <c r="B13" s="49" t="s">
        <v>25</v>
      </c>
      <c r="C13" s="52">
        <v>0.46153846153846156</v>
      </c>
      <c r="D13" s="53">
        <f t="shared" si="0"/>
        <v>130</v>
      </c>
      <c r="E13" s="13" t="s">
        <v>0</v>
      </c>
      <c r="F13" s="13" t="s">
        <v>50</v>
      </c>
      <c r="G13" s="13" t="s">
        <v>210</v>
      </c>
    </row>
    <row r="14" spans="1:7" ht="15.5" x14ac:dyDescent="0.35">
      <c r="A14" s="49">
        <v>13</v>
      </c>
      <c r="B14" s="49" t="s">
        <v>26</v>
      </c>
      <c r="C14" s="52">
        <v>0.66666666666666663</v>
      </c>
      <c r="D14" s="53">
        <f t="shared" si="0"/>
        <v>90</v>
      </c>
      <c r="E14" s="13" t="s">
        <v>0</v>
      </c>
      <c r="F14" s="13" t="s">
        <v>50</v>
      </c>
      <c r="G14" s="13" t="s">
        <v>210</v>
      </c>
    </row>
    <row r="15" spans="1:7" ht="15.5" x14ac:dyDescent="0.35">
      <c r="A15" s="49">
        <v>14</v>
      </c>
      <c r="B15" s="49" t="s">
        <v>28</v>
      </c>
      <c r="C15" s="52">
        <v>0.66666666666666663</v>
      </c>
      <c r="D15" s="53">
        <f t="shared" si="0"/>
        <v>90</v>
      </c>
      <c r="E15" s="13" t="s">
        <v>0</v>
      </c>
      <c r="F15" s="13" t="s">
        <v>50</v>
      </c>
      <c r="G15" s="13" t="s">
        <v>210</v>
      </c>
    </row>
    <row r="16" spans="1:7" ht="15.5" x14ac:dyDescent="0.35">
      <c r="A16" s="49">
        <v>15</v>
      </c>
      <c r="B16" s="49" t="s">
        <v>29</v>
      </c>
      <c r="C16" s="52">
        <v>0.54054054054054057</v>
      </c>
      <c r="D16" s="53">
        <f t="shared" si="0"/>
        <v>111</v>
      </c>
      <c r="E16" s="13" t="s">
        <v>0</v>
      </c>
      <c r="F16" s="13" t="s">
        <v>50</v>
      </c>
      <c r="G16" s="13" t="s">
        <v>210</v>
      </c>
    </row>
    <row r="17" spans="1:7" ht="15.5" x14ac:dyDescent="0.35">
      <c r="A17" s="49">
        <v>16</v>
      </c>
      <c r="B17" s="49" t="s">
        <v>30</v>
      </c>
      <c r="C17" s="52">
        <v>0.6</v>
      </c>
      <c r="D17" s="53">
        <f t="shared" si="0"/>
        <v>100</v>
      </c>
      <c r="E17" s="13" t="s">
        <v>0</v>
      </c>
      <c r="F17" s="13" t="s">
        <v>50</v>
      </c>
      <c r="G17" s="13" t="s">
        <v>210</v>
      </c>
    </row>
    <row r="18" spans="1:7" ht="15.5" x14ac:dyDescent="0.35">
      <c r="A18" s="49">
        <v>17</v>
      </c>
      <c r="B18" s="49" t="s">
        <v>32</v>
      </c>
      <c r="C18" s="52">
        <v>1</v>
      </c>
      <c r="D18" s="53">
        <f t="shared" si="0"/>
        <v>60</v>
      </c>
      <c r="E18" s="13" t="s">
        <v>0</v>
      </c>
      <c r="F18" s="13" t="s">
        <v>50</v>
      </c>
      <c r="G18" s="13" t="s">
        <v>210</v>
      </c>
    </row>
    <row r="19" spans="1:7" ht="15.5" x14ac:dyDescent="0.35">
      <c r="A19" s="49">
        <v>18</v>
      </c>
      <c r="B19" s="49" t="s">
        <v>33</v>
      </c>
      <c r="C19" s="52">
        <v>0.46153846153846156</v>
      </c>
      <c r="D19" s="53">
        <f t="shared" si="0"/>
        <v>130</v>
      </c>
      <c r="E19" s="13" t="s">
        <v>0</v>
      </c>
      <c r="F19" s="13" t="s">
        <v>50</v>
      </c>
      <c r="G19" s="13" t="s">
        <v>210</v>
      </c>
    </row>
    <row r="20" spans="1:7" ht="15.5" x14ac:dyDescent="0.35">
      <c r="A20" s="49">
        <v>19</v>
      </c>
      <c r="B20" s="49" t="s">
        <v>193</v>
      </c>
      <c r="C20" s="52">
        <v>0.66666666666666663</v>
      </c>
      <c r="D20" s="53">
        <f t="shared" si="0"/>
        <v>90</v>
      </c>
      <c r="E20" s="13" t="s">
        <v>0</v>
      </c>
      <c r="F20" s="13" t="s">
        <v>50</v>
      </c>
      <c r="G20" s="13" t="s">
        <v>210</v>
      </c>
    </row>
    <row r="21" spans="1:7" ht="15.5" x14ac:dyDescent="0.35">
      <c r="A21" s="49">
        <v>20</v>
      </c>
      <c r="B21" s="13" t="s">
        <v>177</v>
      </c>
      <c r="C21" s="54">
        <v>1.2</v>
      </c>
      <c r="D21" s="55">
        <f>60/C21</f>
        <v>50</v>
      </c>
      <c r="E21" s="13" t="s">
        <v>99</v>
      </c>
      <c r="F21" s="13" t="s">
        <v>50</v>
      </c>
      <c r="G21" s="13" t="s">
        <v>211</v>
      </c>
    </row>
    <row r="22" spans="1:7" ht="15.5" x14ac:dyDescent="0.35">
      <c r="A22" s="49">
        <v>21</v>
      </c>
      <c r="B22" s="13" t="s">
        <v>77</v>
      </c>
      <c r="C22" s="54">
        <v>2</v>
      </c>
      <c r="D22" s="55">
        <f t="shared" ref="D22:D85" si="1">60/C22</f>
        <v>30</v>
      </c>
      <c r="E22" s="13" t="s">
        <v>99</v>
      </c>
      <c r="F22" s="13" t="s">
        <v>50</v>
      </c>
      <c r="G22" s="13" t="s">
        <v>211</v>
      </c>
    </row>
    <row r="23" spans="1:7" ht="15.5" x14ac:dyDescent="0.35">
      <c r="A23" s="49">
        <v>22</v>
      </c>
      <c r="B23" s="13" t="s">
        <v>78</v>
      </c>
      <c r="C23" s="54">
        <v>1.3333333333333333</v>
      </c>
      <c r="D23" s="55">
        <f t="shared" si="1"/>
        <v>45</v>
      </c>
      <c r="E23" s="13" t="s">
        <v>99</v>
      </c>
      <c r="F23" s="13" t="s">
        <v>50</v>
      </c>
      <c r="G23" s="13" t="s">
        <v>211</v>
      </c>
    </row>
    <row r="24" spans="1:7" ht="15.5" x14ac:dyDescent="0.35">
      <c r="A24" s="49">
        <v>23</v>
      </c>
      <c r="B24" s="13" t="s">
        <v>176</v>
      </c>
      <c r="C24" s="54">
        <v>0.8571428571428571</v>
      </c>
      <c r="D24" s="55">
        <f t="shared" si="1"/>
        <v>70</v>
      </c>
      <c r="E24" s="13" t="s">
        <v>99</v>
      </c>
      <c r="F24" s="13" t="s">
        <v>50</v>
      </c>
      <c r="G24" s="13" t="s">
        <v>211</v>
      </c>
    </row>
    <row r="25" spans="1:7" ht="15.5" x14ac:dyDescent="0.35">
      <c r="A25" s="49">
        <v>24</v>
      </c>
      <c r="B25" s="13" t="s">
        <v>187</v>
      </c>
      <c r="C25" s="54">
        <v>0.63157894736842102</v>
      </c>
      <c r="D25" s="55">
        <f t="shared" si="1"/>
        <v>95</v>
      </c>
      <c r="E25" s="13" t="s">
        <v>99</v>
      </c>
      <c r="F25" s="13" t="s">
        <v>50</v>
      </c>
      <c r="G25" s="13" t="s">
        <v>211</v>
      </c>
    </row>
    <row r="26" spans="1:7" ht="15.5" x14ac:dyDescent="0.35">
      <c r="A26" s="49">
        <v>25</v>
      </c>
      <c r="B26" s="13" t="s">
        <v>80</v>
      </c>
      <c r="C26" s="54">
        <v>0.5</v>
      </c>
      <c r="D26" s="55">
        <f t="shared" si="1"/>
        <v>120</v>
      </c>
      <c r="E26" s="13" t="s">
        <v>99</v>
      </c>
      <c r="F26" s="13" t="s">
        <v>50</v>
      </c>
      <c r="G26" s="13" t="s">
        <v>211</v>
      </c>
    </row>
    <row r="27" spans="1:7" ht="15.5" x14ac:dyDescent="0.35">
      <c r="A27" s="49">
        <v>26</v>
      </c>
      <c r="B27" s="13" t="s">
        <v>81</v>
      </c>
      <c r="C27" s="54">
        <v>0.4</v>
      </c>
      <c r="D27" s="55">
        <f t="shared" si="1"/>
        <v>150</v>
      </c>
      <c r="E27" s="13" t="s">
        <v>99</v>
      </c>
      <c r="F27" s="13" t="s">
        <v>50</v>
      </c>
      <c r="G27" s="13" t="s">
        <v>211</v>
      </c>
    </row>
    <row r="28" spans="1:7" ht="15.5" x14ac:dyDescent="0.35">
      <c r="A28" s="49">
        <v>27</v>
      </c>
      <c r="B28" s="13" t="s">
        <v>82</v>
      </c>
      <c r="C28" s="54">
        <v>0.54545454545454541</v>
      </c>
      <c r="D28" s="55">
        <f t="shared" si="1"/>
        <v>110.00000000000001</v>
      </c>
      <c r="E28" s="13" t="s">
        <v>99</v>
      </c>
      <c r="F28" s="13" t="s">
        <v>50</v>
      </c>
      <c r="G28" s="13" t="s">
        <v>211</v>
      </c>
    </row>
    <row r="29" spans="1:7" ht="15.5" x14ac:dyDescent="0.35">
      <c r="A29" s="49">
        <v>28</v>
      </c>
      <c r="B29" s="13" t="s">
        <v>179</v>
      </c>
      <c r="C29" s="54">
        <v>0.54545454545454541</v>
      </c>
      <c r="D29" s="55">
        <f t="shared" si="1"/>
        <v>110.00000000000001</v>
      </c>
      <c r="E29" s="13" t="s">
        <v>99</v>
      </c>
      <c r="F29" s="13" t="s">
        <v>50</v>
      </c>
      <c r="G29" s="13" t="s">
        <v>211</v>
      </c>
    </row>
    <row r="30" spans="1:7" ht="15.5" x14ac:dyDescent="0.35">
      <c r="A30" s="49">
        <v>29</v>
      </c>
      <c r="B30" s="13" t="s">
        <v>83</v>
      </c>
      <c r="C30" s="54">
        <v>0.8571428571428571</v>
      </c>
      <c r="D30" s="55">
        <f t="shared" si="1"/>
        <v>70</v>
      </c>
      <c r="E30" s="13" t="s">
        <v>99</v>
      </c>
      <c r="F30" s="13" t="s">
        <v>50</v>
      </c>
      <c r="G30" s="13" t="s">
        <v>211</v>
      </c>
    </row>
    <row r="31" spans="1:7" ht="15.5" x14ac:dyDescent="0.35">
      <c r="A31" s="49">
        <v>30</v>
      </c>
      <c r="B31" s="13" t="s">
        <v>178</v>
      </c>
      <c r="C31" s="54">
        <v>0.48</v>
      </c>
      <c r="D31" s="55">
        <f t="shared" si="1"/>
        <v>125</v>
      </c>
      <c r="E31" s="13" t="s">
        <v>99</v>
      </c>
      <c r="F31" s="13" t="s">
        <v>50</v>
      </c>
      <c r="G31" s="13" t="s">
        <v>211</v>
      </c>
    </row>
    <row r="32" spans="1:7" ht="15.5" x14ac:dyDescent="0.35">
      <c r="A32" s="49">
        <v>31</v>
      </c>
      <c r="B32" s="13" t="s">
        <v>85</v>
      </c>
      <c r="C32" s="54">
        <v>0.54545454545454541</v>
      </c>
      <c r="D32" s="55">
        <f t="shared" si="1"/>
        <v>110.00000000000001</v>
      </c>
      <c r="E32" s="13" t="s">
        <v>99</v>
      </c>
      <c r="F32" s="13" t="s">
        <v>50</v>
      </c>
      <c r="G32" s="13" t="s">
        <v>211</v>
      </c>
    </row>
    <row r="33" spans="1:7" ht="15.5" x14ac:dyDescent="0.35">
      <c r="A33" s="49">
        <v>32</v>
      </c>
      <c r="B33" s="13" t="s">
        <v>86</v>
      </c>
      <c r="C33" s="54">
        <v>1.7142857142857142</v>
      </c>
      <c r="D33" s="55">
        <f t="shared" si="1"/>
        <v>35</v>
      </c>
      <c r="E33" s="13" t="s">
        <v>99</v>
      </c>
      <c r="F33" s="13" t="s">
        <v>50</v>
      </c>
      <c r="G33" s="13" t="s">
        <v>211</v>
      </c>
    </row>
    <row r="34" spans="1:7" ht="15.5" x14ac:dyDescent="0.35">
      <c r="A34" s="49">
        <v>33</v>
      </c>
      <c r="B34" s="13" t="s">
        <v>87</v>
      </c>
      <c r="C34" s="54">
        <v>0.54054054054054057</v>
      </c>
      <c r="D34" s="55">
        <f t="shared" si="1"/>
        <v>111</v>
      </c>
      <c r="E34" s="13" t="s">
        <v>99</v>
      </c>
      <c r="F34" s="13" t="s">
        <v>50</v>
      </c>
      <c r="G34" s="13" t="s">
        <v>211</v>
      </c>
    </row>
    <row r="35" spans="1:7" ht="15.5" x14ac:dyDescent="0.35">
      <c r="A35" s="49">
        <v>34</v>
      </c>
      <c r="B35" s="13" t="s">
        <v>88</v>
      </c>
      <c r="C35" s="54">
        <v>0.66666666666666663</v>
      </c>
      <c r="D35" s="55">
        <f t="shared" si="1"/>
        <v>90</v>
      </c>
      <c r="E35" s="13" t="s">
        <v>99</v>
      </c>
      <c r="F35" s="13" t="s">
        <v>50</v>
      </c>
      <c r="G35" s="13" t="s">
        <v>211</v>
      </c>
    </row>
    <row r="36" spans="1:7" ht="15.5" x14ac:dyDescent="0.35">
      <c r="A36" s="49">
        <v>35</v>
      </c>
      <c r="B36" s="13" t="s">
        <v>89</v>
      </c>
      <c r="C36" s="54">
        <v>0.6</v>
      </c>
      <c r="D36" s="55">
        <f t="shared" si="1"/>
        <v>100</v>
      </c>
      <c r="E36" s="13" t="s">
        <v>99</v>
      </c>
      <c r="F36" s="13" t="s">
        <v>50</v>
      </c>
      <c r="G36" s="13" t="s">
        <v>211</v>
      </c>
    </row>
    <row r="37" spans="1:7" ht="15.5" x14ac:dyDescent="0.35">
      <c r="A37" s="49">
        <v>36</v>
      </c>
      <c r="B37" s="13" t="s">
        <v>91</v>
      </c>
      <c r="C37" s="54">
        <v>0.66666666666666663</v>
      </c>
      <c r="D37" s="55">
        <f t="shared" si="1"/>
        <v>90</v>
      </c>
      <c r="E37" s="13" t="s">
        <v>99</v>
      </c>
      <c r="F37" s="13" t="s">
        <v>50</v>
      </c>
      <c r="G37" s="13" t="s">
        <v>211</v>
      </c>
    </row>
    <row r="38" spans="1:7" ht="15.5" x14ac:dyDescent="0.35">
      <c r="A38" s="49">
        <v>37</v>
      </c>
      <c r="B38" s="13" t="s">
        <v>93</v>
      </c>
      <c r="C38" s="54">
        <v>0.54054054054054057</v>
      </c>
      <c r="D38" s="55">
        <f t="shared" si="1"/>
        <v>111</v>
      </c>
      <c r="E38" s="13" t="s">
        <v>99</v>
      </c>
      <c r="F38" s="13" t="s">
        <v>50</v>
      </c>
      <c r="G38" s="13" t="s">
        <v>211</v>
      </c>
    </row>
    <row r="39" spans="1:7" ht="15.5" x14ac:dyDescent="0.35">
      <c r="A39" s="49">
        <v>38</v>
      </c>
      <c r="B39" s="13" t="s">
        <v>94</v>
      </c>
      <c r="C39" s="54">
        <v>0.63157894736842102</v>
      </c>
      <c r="D39" s="55">
        <f t="shared" si="1"/>
        <v>95</v>
      </c>
      <c r="E39" s="13" t="s">
        <v>99</v>
      </c>
      <c r="F39" s="13" t="s">
        <v>50</v>
      </c>
      <c r="G39" s="13" t="s">
        <v>211</v>
      </c>
    </row>
    <row r="40" spans="1:7" ht="15.5" x14ac:dyDescent="0.35">
      <c r="A40" s="49">
        <v>39</v>
      </c>
      <c r="B40" s="13" t="s">
        <v>95</v>
      </c>
      <c r="C40" s="54">
        <v>0.66666666666666663</v>
      </c>
      <c r="D40" s="55">
        <f t="shared" si="1"/>
        <v>90</v>
      </c>
      <c r="E40" s="13" t="s">
        <v>99</v>
      </c>
      <c r="F40" s="13" t="s">
        <v>50</v>
      </c>
      <c r="G40" s="13" t="s">
        <v>211</v>
      </c>
    </row>
    <row r="41" spans="1:7" ht="15.5" x14ac:dyDescent="0.35">
      <c r="A41" s="49">
        <v>40</v>
      </c>
      <c r="B41" s="13" t="s">
        <v>188</v>
      </c>
      <c r="C41" s="54">
        <v>0.4</v>
      </c>
      <c r="D41" s="55">
        <f t="shared" si="1"/>
        <v>150</v>
      </c>
      <c r="E41" s="13" t="s">
        <v>99</v>
      </c>
      <c r="F41" s="13" t="s">
        <v>50</v>
      </c>
      <c r="G41" s="13" t="s">
        <v>211</v>
      </c>
    </row>
    <row r="42" spans="1:7" ht="15.5" x14ac:dyDescent="0.35">
      <c r="A42" s="49">
        <v>41</v>
      </c>
      <c r="B42" s="13" t="s">
        <v>96</v>
      </c>
      <c r="C42" s="54">
        <v>1.3333333333333333</v>
      </c>
      <c r="D42" s="55">
        <f t="shared" si="1"/>
        <v>45</v>
      </c>
      <c r="E42" s="13" t="s">
        <v>99</v>
      </c>
      <c r="F42" s="13" t="s">
        <v>50</v>
      </c>
      <c r="G42" s="13" t="s">
        <v>211</v>
      </c>
    </row>
    <row r="43" spans="1:7" ht="15.5" x14ac:dyDescent="0.35">
      <c r="A43" s="49">
        <v>42</v>
      </c>
      <c r="B43" s="13" t="s">
        <v>175</v>
      </c>
      <c r="C43" s="54">
        <v>0.6</v>
      </c>
      <c r="D43" s="55">
        <f t="shared" si="1"/>
        <v>100</v>
      </c>
      <c r="E43" s="13" t="s">
        <v>99</v>
      </c>
      <c r="F43" s="13" t="s">
        <v>50</v>
      </c>
      <c r="G43" s="13" t="s">
        <v>211</v>
      </c>
    </row>
    <row r="44" spans="1:7" ht="15.5" x14ac:dyDescent="0.35">
      <c r="A44" s="49">
        <v>43</v>
      </c>
      <c r="B44" s="13" t="s">
        <v>132</v>
      </c>
      <c r="C44" s="54">
        <v>0.8571428571428571</v>
      </c>
      <c r="D44" s="55">
        <f t="shared" si="1"/>
        <v>70</v>
      </c>
      <c r="E44" s="13" t="s">
        <v>131</v>
      </c>
      <c r="F44" s="13" t="s">
        <v>50</v>
      </c>
      <c r="G44" s="13" t="s">
        <v>210</v>
      </c>
    </row>
    <row r="45" spans="1:7" ht="15.5" x14ac:dyDescent="0.35">
      <c r="A45" s="49">
        <v>44</v>
      </c>
      <c r="B45" s="13" t="s">
        <v>133</v>
      </c>
      <c r="C45" s="54">
        <v>0.5</v>
      </c>
      <c r="D45" s="55">
        <f t="shared" si="1"/>
        <v>120</v>
      </c>
      <c r="E45" s="13" t="s">
        <v>131</v>
      </c>
      <c r="F45" s="13" t="s">
        <v>50</v>
      </c>
      <c r="G45" s="13" t="s">
        <v>210</v>
      </c>
    </row>
    <row r="46" spans="1:7" ht="15.5" x14ac:dyDescent="0.35">
      <c r="A46" s="49">
        <v>45</v>
      </c>
      <c r="B46" s="13" t="s">
        <v>134</v>
      </c>
      <c r="C46" s="54">
        <v>0.66666666666666663</v>
      </c>
      <c r="D46" s="55">
        <f t="shared" si="1"/>
        <v>90</v>
      </c>
      <c r="E46" s="13" t="s">
        <v>131</v>
      </c>
      <c r="F46" s="13" t="s">
        <v>50</v>
      </c>
      <c r="G46" s="13" t="s">
        <v>210</v>
      </c>
    </row>
    <row r="47" spans="1:7" ht="15.5" x14ac:dyDescent="0.35">
      <c r="A47" s="49">
        <v>46</v>
      </c>
      <c r="B47" s="13" t="s">
        <v>135</v>
      </c>
      <c r="C47" s="54">
        <v>0.66666666666666663</v>
      </c>
      <c r="D47" s="55">
        <f t="shared" si="1"/>
        <v>90</v>
      </c>
      <c r="E47" s="13" t="s">
        <v>131</v>
      </c>
      <c r="F47" s="13" t="s">
        <v>50</v>
      </c>
      <c r="G47" s="13" t="s">
        <v>210</v>
      </c>
    </row>
    <row r="48" spans="1:7" ht="15.5" x14ac:dyDescent="0.35">
      <c r="A48" s="49">
        <v>47</v>
      </c>
      <c r="B48" s="13" t="s">
        <v>183</v>
      </c>
      <c r="C48" s="54">
        <v>0.54545454545454541</v>
      </c>
      <c r="D48" s="55">
        <f t="shared" si="1"/>
        <v>110.00000000000001</v>
      </c>
      <c r="E48" s="13" t="s">
        <v>131</v>
      </c>
      <c r="F48" s="13" t="s">
        <v>50</v>
      </c>
      <c r="G48" s="13" t="s">
        <v>210</v>
      </c>
    </row>
    <row r="49" spans="1:7" ht="15.5" x14ac:dyDescent="0.35">
      <c r="A49" s="49">
        <v>48</v>
      </c>
      <c r="B49" s="13" t="s">
        <v>136</v>
      </c>
      <c r="C49" s="54">
        <v>0.54545454545454541</v>
      </c>
      <c r="D49" s="55">
        <f t="shared" si="1"/>
        <v>110.00000000000001</v>
      </c>
      <c r="E49" s="13" t="s">
        <v>131</v>
      </c>
      <c r="F49" s="13" t="s">
        <v>50</v>
      </c>
      <c r="G49" s="13" t="s">
        <v>210</v>
      </c>
    </row>
    <row r="50" spans="1:7" ht="15.5" x14ac:dyDescent="0.35">
      <c r="A50" s="49">
        <v>49</v>
      </c>
      <c r="B50" s="13" t="s">
        <v>137</v>
      </c>
      <c r="C50" s="54">
        <v>0.54545454545454541</v>
      </c>
      <c r="D50" s="55">
        <f t="shared" si="1"/>
        <v>110.00000000000001</v>
      </c>
      <c r="E50" s="13" t="s">
        <v>131</v>
      </c>
      <c r="F50" s="13" t="s">
        <v>50</v>
      </c>
      <c r="G50" s="13" t="s">
        <v>210</v>
      </c>
    </row>
    <row r="51" spans="1:7" ht="15.5" x14ac:dyDescent="0.35">
      <c r="A51" s="49">
        <v>50</v>
      </c>
      <c r="B51" s="13" t="s">
        <v>138</v>
      </c>
      <c r="C51" s="54">
        <v>0.54545454545454541</v>
      </c>
      <c r="D51" s="55">
        <f t="shared" si="1"/>
        <v>110.00000000000001</v>
      </c>
      <c r="E51" s="13" t="s">
        <v>131</v>
      </c>
      <c r="F51" s="13" t="s">
        <v>50</v>
      </c>
      <c r="G51" s="13" t="s">
        <v>210</v>
      </c>
    </row>
    <row r="52" spans="1:7" ht="15.5" x14ac:dyDescent="0.35">
      <c r="A52" s="49">
        <v>51</v>
      </c>
      <c r="B52" s="13" t="s">
        <v>139</v>
      </c>
      <c r="C52" s="54">
        <v>0.5</v>
      </c>
      <c r="D52" s="55">
        <f t="shared" si="1"/>
        <v>120</v>
      </c>
      <c r="E52" s="13" t="s">
        <v>131</v>
      </c>
      <c r="F52" s="13" t="s">
        <v>50</v>
      </c>
      <c r="G52" s="13" t="s">
        <v>210</v>
      </c>
    </row>
    <row r="53" spans="1:7" ht="15.5" x14ac:dyDescent="0.35">
      <c r="A53" s="49">
        <v>52</v>
      </c>
      <c r="B53" s="13" t="s">
        <v>96</v>
      </c>
      <c r="C53" s="54">
        <v>2</v>
      </c>
      <c r="D53" s="55">
        <f t="shared" si="1"/>
        <v>30</v>
      </c>
      <c r="E53" s="13" t="s">
        <v>131</v>
      </c>
      <c r="F53" s="13" t="s">
        <v>50</v>
      </c>
      <c r="G53" s="13" t="s">
        <v>210</v>
      </c>
    </row>
    <row r="54" spans="1:7" ht="15.5" x14ac:dyDescent="0.35">
      <c r="A54" s="49">
        <v>53</v>
      </c>
      <c r="B54" s="13" t="s">
        <v>141</v>
      </c>
      <c r="C54" s="54">
        <v>0.6</v>
      </c>
      <c r="D54" s="55">
        <f t="shared" si="1"/>
        <v>100</v>
      </c>
      <c r="E54" s="13" t="s">
        <v>131</v>
      </c>
      <c r="F54" s="13" t="s">
        <v>50</v>
      </c>
      <c r="G54" s="13" t="s">
        <v>210</v>
      </c>
    </row>
    <row r="55" spans="1:7" ht="15.5" x14ac:dyDescent="0.35">
      <c r="A55" s="49">
        <v>54</v>
      </c>
      <c r="B55" s="13" t="s">
        <v>143</v>
      </c>
      <c r="C55" s="54">
        <v>0.66666666666666663</v>
      </c>
      <c r="D55" s="55">
        <f t="shared" si="1"/>
        <v>90</v>
      </c>
      <c r="E55" s="13" t="s">
        <v>131</v>
      </c>
      <c r="F55" s="13" t="s">
        <v>50</v>
      </c>
      <c r="G55" s="13" t="s">
        <v>210</v>
      </c>
    </row>
    <row r="56" spans="1:7" ht="15.5" x14ac:dyDescent="0.35">
      <c r="A56" s="49">
        <v>55</v>
      </c>
      <c r="B56" s="13" t="s">
        <v>144</v>
      </c>
      <c r="C56" s="54">
        <v>0.92307692307692313</v>
      </c>
      <c r="D56" s="55">
        <f t="shared" si="1"/>
        <v>65</v>
      </c>
      <c r="E56" s="13" t="s">
        <v>131</v>
      </c>
      <c r="F56" s="13" t="s">
        <v>50</v>
      </c>
      <c r="G56" s="13" t="s">
        <v>210</v>
      </c>
    </row>
    <row r="57" spans="1:7" ht="15.5" x14ac:dyDescent="0.35">
      <c r="A57" s="49">
        <v>56</v>
      </c>
      <c r="B57" s="13" t="s">
        <v>146</v>
      </c>
      <c r="C57" s="54">
        <v>0.5</v>
      </c>
      <c r="D57" s="55">
        <f t="shared" si="1"/>
        <v>120</v>
      </c>
      <c r="E57" s="13" t="s">
        <v>131</v>
      </c>
      <c r="F57" s="13" t="s">
        <v>50</v>
      </c>
      <c r="G57" s="13" t="s">
        <v>210</v>
      </c>
    </row>
    <row r="58" spans="1:7" ht="15.5" x14ac:dyDescent="0.35">
      <c r="A58" s="49">
        <v>57</v>
      </c>
      <c r="B58" s="13" t="s">
        <v>150</v>
      </c>
      <c r="C58" s="54">
        <v>0.92307692307692313</v>
      </c>
      <c r="D58" s="55">
        <f t="shared" si="1"/>
        <v>65</v>
      </c>
      <c r="E58" s="13" t="s">
        <v>131</v>
      </c>
      <c r="F58" s="13" t="s">
        <v>50</v>
      </c>
      <c r="G58" s="13" t="s">
        <v>210</v>
      </c>
    </row>
    <row r="59" spans="1:7" ht="15.5" x14ac:dyDescent="0.35">
      <c r="A59" s="49">
        <v>58</v>
      </c>
      <c r="B59" s="13" t="s">
        <v>197</v>
      </c>
      <c r="C59" s="54">
        <v>0.66666666666666663</v>
      </c>
      <c r="D59" s="55">
        <f t="shared" si="1"/>
        <v>90</v>
      </c>
      <c r="E59" s="13" t="s">
        <v>131</v>
      </c>
      <c r="F59" s="13" t="s">
        <v>50</v>
      </c>
      <c r="G59" s="13" t="s">
        <v>210</v>
      </c>
    </row>
    <row r="60" spans="1:7" ht="15.5" x14ac:dyDescent="0.35">
      <c r="A60" s="49">
        <v>59</v>
      </c>
      <c r="B60" s="13" t="s">
        <v>149</v>
      </c>
      <c r="C60" s="54">
        <v>0.63157894736842102</v>
      </c>
      <c r="D60" s="55">
        <f t="shared" si="1"/>
        <v>95</v>
      </c>
      <c r="E60" s="13" t="s">
        <v>131</v>
      </c>
      <c r="F60" s="13" t="s">
        <v>50</v>
      </c>
      <c r="G60" s="13" t="s">
        <v>210</v>
      </c>
    </row>
    <row r="61" spans="1:7" ht="15.5" x14ac:dyDescent="0.35">
      <c r="A61" s="49">
        <v>60</v>
      </c>
      <c r="B61" s="13" t="s">
        <v>185</v>
      </c>
      <c r="C61" s="54">
        <v>0.92307692307692313</v>
      </c>
      <c r="D61" s="55">
        <f t="shared" si="1"/>
        <v>65</v>
      </c>
      <c r="E61" s="13" t="s">
        <v>131</v>
      </c>
      <c r="F61" s="13" t="s">
        <v>50</v>
      </c>
      <c r="G61" s="13" t="s">
        <v>210</v>
      </c>
    </row>
    <row r="62" spans="1:7" ht="15.5" x14ac:dyDescent="0.35">
      <c r="A62" s="49">
        <v>61</v>
      </c>
      <c r="B62" s="13" t="s">
        <v>152</v>
      </c>
      <c r="C62" s="54">
        <v>0.6</v>
      </c>
      <c r="D62" s="55">
        <f t="shared" si="1"/>
        <v>100</v>
      </c>
      <c r="E62" s="13" t="s">
        <v>151</v>
      </c>
      <c r="F62" s="13" t="s">
        <v>50</v>
      </c>
      <c r="G62" s="13" t="s">
        <v>210</v>
      </c>
    </row>
    <row r="63" spans="1:7" ht="15.5" x14ac:dyDescent="0.35">
      <c r="A63" s="49">
        <v>62</v>
      </c>
      <c r="B63" s="13" t="s">
        <v>153</v>
      </c>
      <c r="C63" s="54">
        <v>0.6</v>
      </c>
      <c r="D63" s="55">
        <f t="shared" si="1"/>
        <v>100</v>
      </c>
      <c r="E63" s="13" t="s">
        <v>151</v>
      </c>
      <c r="F63" s="13" t="s">
        <v>50</v>
      </c>
      <c r="G63" s="13" t="s">
        <v>210</v>
      </c>
    </row>
    <row r="64" spans="1:7" ht="15.5" x14ac:dyDescent="0.35">
      <c r="A64" s="49">
        <v>63</v>
      </c>
      <c r="B64" s="13" t="s">
        <v>154</v>
      </c>
      <c r="C64" s="54">
        <v>0.70588235294117652</v>
      </c>
      <c r="D64" s="55">
        <f t="shared" si="1"/>
        <v>85</v>
      </c>
      <c r="E64" s="13" t="s">
        <v>151</v>
      </c>
      <c r="F64" s="13" t="s">
        <v>50</v>
      </c>
      <c r="G64" s="13" t="s">
        <v>210</v>
      </c>
    </row>
    <row r="65" spans="1:7" ht="15.5" x14ac:dyDescent="0.35">
      <c r="A65" s="49">
        <v>64</v>
      </c>
      <c r="B65" s="13" t="s">
        <v>186</v>
      </c>
      <c r="C65" s="54">
        <v>0.66666666666666663</v>
      </c>
      <c r="D65" s="55">
        <f t="shared" si="1"/>
        <v>90</v>
      </c>
      <c r="E65" s="13" t="s">
        <v>151</v>
      </c>
      <c r="F65" s="13" t="s">
        <v>50</v>
      </c>
      <c r="G65" s="13" t="s">
        <v>210</v>
      </c>
    </row>
    <row r="66" spans="1:7" ht="15.5" x14ac:dyDescent="0.35">
      <c r="A66" s="49">
        <v>65</v>
      </c>
      <c r="B66" s="13" t="s">
        <v>155</v>
      </c>
      <c r="C66" s="54">
        <v>0.54545454545454541</v>
      </c>
      <c r="D66" s="55">
        <f t="shared" si="1"/>
        <v>110.00000000000001</v>
      </c>
      <c r="E66" s="13" t="s">
        <v>151</v>
      </c>
      <c r="F66" s="13" t="s">
        <v>50</v>
      </c>
      <c r="G66" s="13" t="s">
        <v>210</v>
      </c>
    </row>
    <row r="67" spans="1:7" ht="15.5" x14ac:dyDescent="0.35">
      <c r="A67" s="49">
        <v>66</v>
      </c>
      <c r="B67" s="13" t="s">
        <v>199</v>
      </c>
      <c r="C67" s="54">
        <v>0.6</v>
      </c>
      <c r="D67" s="55">
        <f t="shared" si="1"/>
        <v>100</v>
      </c>
      <c r="E67" s="13" t="s">
        <v>151</v>
      </c>
      <c r="F67" s="13" t="s">
        <v>50</v>
      </c>
      <c r="G67" s="13" t="s">
        <v>210</v>
      </c>
    </row>
    <row r="68" spans="1:7" ht="15.5" x14ac:dyDescent="0.35">
      <c r="A68" s="49">
        <v>67</v>
      </c>
      <c r="B68" s="13" t="s">
        <v>200</v>
      </c>
      <c r="C68" s="54">
        <v>0.54545454545454541</v>
      </c>
      <c r="D68" s="55">
        <f t="shared" si="1"/>
        <v>110.00000000000001</v>
      </c>
      <c r="E68" s="13" t="s">
        <v>151</v>
      </c>
      <c r="F68" s="13" t="s">
        <v>50</v>
      </c>
      <c r="G68" s="13" t="s">
        <v>210</v>
      </c>
    </row>
    <row r="69" spans="1:7" ht="15.5" x14ac:dyDescent="0.35">
      <c r="A69" s="49">
        <v>68</v>
      </c>
      <c r="B69" s="13" t="s">
        <v>156</v>
      </c>
      <c r="C69" s="54" t="s">
        <v>59</v>
      </c>
      <c r="D69" s="55"/>
      <c r="E69" s="13" t="s">
        <v>151</v>
      </c>
      <c r="F69" s="13" t="s">
        <v>50</v>
      </c>
      <c r="G69" s="13" t="s">
        <v>210</v>
      </c>
    </row>
    <row r="70" spans="1:7" ht="15.5" x14ac:dyDescent="0.35">
      <c r="A70" s="49">
        <v>69</v>
      </c>
      <c r="B70" s="13" t="s">
        <v>157</v>
      </c>
      <c r="C70" s="54">
        <v>1</v>
      </c>
      <c r="D70" s="55">
        <f t="shared" si="1"/>
        <v>60</v>
      </c>
      <c r="E70" s="13" t="s">
        <v>151</v>
      </c>
      <c r="F70" s="13" t="s">
        <v>50</v>
      </c>
      <c r="G70" s="13" t="s">
        <v>210</v>
      </c>
    </row>
    <row r="71" spans="1:7" ht="15.5" x14ac:dyDescent="0.35">
      <c r="A71" s="49">
        <v>70</v>
      </c>
      <c r="B71" s="13" t="s">
        <v>201</v>
      </c>
      <c r="C71" s="54">
        <v>0.6</v>
      </c>
      <c r="D71" s="55">
        <f t="shared" si="1"/>
        <v>100</v>
      </c>
      <c r="E71" s="13" t="s">
        <v>151</v>
      </c>
      <c r="F71" s="13" t="s">
        <v>50</v>
      </c>
      <c r="G71" s="13" t="s">
        <v>210</v>
      </c>
    </row>
    <row r="72" spans="1:7" ht="15.5" x14ac:dyDescent="0.35">
      <c r="A72" s="49">
        <v>71</v>
      </c>
      <c r="B72" s="13" t="s">
        <v>159</v>
      </c>
      <c r="C72" s="54">
        <v>0.54545454545454541</v>
      </c>
      <c r="D72" s="55">
        <f t="shared" si="1"/>
        <v>110.00000000000001</v>
      </c>
      <c r="E72" s="13" t="s">
        <v>151</v>
      </c>
      <c r="F72" s="13" t="s">
        <v>50</v>
      </c>
      <c r="G72" s="13" t="s">
        <v>210</v>
      </c>
    </row>
    <row r="73" spans="1:7" ht="15.5" x14ac:dyDescent="0.35">
      <c r="A73" s="49">
        <v>72</v>
      </c>
      <c r="B73" s="13" t="s">
        <v>167</v>
      </c>
      <c r="C73" s="54">
        <v>0.54545454545454541</v>
      </c>
      <c r="D73" s="55">
        <f t="shared" si="1"/>
        <v>110.00000000000001</v>
      </c>
      <c r="E73" s="13" t="s">
        <v>151</v>
      </c>
      <c r="F73" s="13" t="s">
        <v>50</v>
      </c>
      <c r="G73" s="13" t="s">
        <v>210</v>
      </c>
    </row>
    <row r="74" spans="1:7" ht="15.5" x14ac:dyDescent="0.35">
      <c r="A74" s="49">
        <v>73</v>
      </c>
      <c r="B74" s="13" t="s">
        <v>160</v>
      </c>
      <c r="C74" s="54">
        <v>0.54545454545454541</v>
      </c>
      <c r="D74" s="55">
        <f t="shared" si="1"/>
        <v>110.00000000000001</v>
      </c>
      <c r="E74" s="13" t="s">
        <v>151</v>
      </c>
      <c r="F74" s="13" t="s">
        <v>50</v>
      </c>
      <c r="G74" s="13" t="s">
        <v>210</v>
      </c>
    </row>
    <row r="75" spans="1:7" ht="15.5" x14ac:dyDescent="0.35">
      <c r="A75" s="49">
        <v>74</v>
      </c>
      <c r="B75" s="13" t="s">
        <v>162</v>
      </c>
      <c r="C75" s="54">
        <v>0.44444444444444442</v>
      </c>
      <c r="D75" s="55">
        <f t="shared" si="1"/>
        <v>135</v>
      </c>
      <c r="E75" s="13" t="s">
        <v>151</v>
      </c>
      <c r="F75" s="13" t="s">
        <v>50</v>
      </c>
      <c r="G75" s="13" t="s">
        <v>210</v>
      </c>
    </row>
    <row r="76" spans="1:7" ht="15.5" x14ac:dyDescent="0.35">
      <c r="A76" s="49">
        <v>75</v>
      </c>
      <c r="B76" s="13" t="s">
        <v>163</v>
      </c>
      <c r="C76" s="54">
        <v>0.44444444444444442</v>
      </c>
      <c r="D76" s="55">
        <f t="shared" si="1"/>
        <v>135</v>
      </c>
      <c r="E76" s="13" t="s">
        <v>151</v>
      </c>
      <c r="F76" s="13" t="s">
        <v>50</v>
      </c>
      <c r="G76" s="13" t="s">
        <v>210</v>
      </c>
    </row>
    <row r="77" spans="1:7" ht="15.5" x14ac:dyDescent="0.35">
      <c r="A77" s="49">
        <v>76</v>
      </c>
      <c r="B77" s="13" t="s">
        <v>164</v>
      </c>
      <c r="C77" s="54">
        <v>1.2</v>
      </c>
      <c r="D77" s="55">
        <f t="shared" si="1"/>
        <v>50</v>
      </c>
      <c r="E77" s="13" t="s">
        <v>151</v>
      </c>
      <c r="F77" s="13" t="s">
        <v>50</v>
      </c>
      <c r="G77" s="13" t="s">
        <v>210</v>
      </c>
    </row>
    <row r="78" spans="1:7" ht="15.5" x14ac:dyDescent="0.35">
      <c r="A78" s="49">
        <v>77</v>
      </c>
      <c r="B78" s="13" t="s">
        <v>166</v>
      </c>
      <c r="C78" s="54">
        <v>0.66666666666666663</v>
      </c>
      <c r="D78" s="55">
        <f t="shared" si="1"/>
        <v>90</v>
      </c>
      <c r="E78" s="13" t="s">
        <v>151</v>
      </c>
      <c r="F78" s="13" t="s">
        <v>50</v>
      </c>
      <c r="G78" s="13" t="s">
        <v>210</v>
      </c>
    </row>
    <row r="79" spans="1:7" ht="15.5" x14ac:dyDescent="0.35">
      <c r="A79" s="49">
        <v>78</v>
      </c>
      <c r="B79" s="13" t="s">
        <v>168</v>
      </c>
      <c r="C79" s="54">
        <v>0.54545454545454541</v>
      </c>
      <c r="D79" s="55">
        <f t="shared" si="1"/>
        <v>110.00000000000001</v>
      </c>
      <c r="E79" s="13" t="s">
        <v>151</v>
      </c>
      <c r="F79" s="13" t="s">
        <v>50</v>
      </c>
      <c r="G79" s="13" t="s">
        <v>210</v>
      </c>
    </row>
    <row r="80" spans="1:7" ht="15.5" x14ac:dyDescent="0.35">
      <c r="A80" s="49">
        <v>79</v>
      </c>
      <c r="B80" s="13" t="s">
        <v>169</v>
      </c>
      <c r="C80" s="54">
        <v>2</v>
      </c>
      <c r="D80" s="55">
        <f t="shared" si="1"/>
        <v>30</v>
      </c>
      <c r="E80" s="13" t="s">
        <v>151</v>
      </c>
      <c r="F80" s="13" t="s">
        <v>50</v>
      </c>
      <c r="G80" s="13" t="s">
        <v>210</v>
      </c>
    </row>
    <row r="81" spans="1:7" ht="15.5" x14ac:dyDescent="0.35">
      <c r="A81" s="49">
        <v>80</v>
      </c>
      <c r="B81" s="13" t="s">
        <v>171</v>
      </c>
      <c r="C81" s="54">
        <v>3</v>
      </c>
      <c r="D81" s="55">
        <f t="shared" si="1"/>
        <v>20</v>
      </c>
      <c r="E81" s="13" t="s">
        <v>151</v>
      </c>
      <c r="F81" s="13" t="s">
        <v>50</v>
      </c>
      <c r="G81" s="13" t="s">
        <v>210</v>
      </c>
    </row>
    <row r="82" spans="1:7" ht="15.5" x14ac:dyDescent="0.35">
      <c r="A82" s="49">
        <v>81</v>
      </c>
      <c r="B82" s="13" t="s">
        <v>118</v>
      </c>
      <c r="C82" s="54">
        <v>0.44444444444444442</v>
      </c>
      <c r="D82" s="55">
        <f t="shared" si="1"/>
        <v>135</v>
      </c>
      <c r="E82" s="13" t="s">
        <v>130</v>
      </c>
      <c r="F82" s="13" t="s">
        <v>50</v>
      </c>
      <c r="G82" s="13" t="s">
        <v>211</v>
      </c>
    </row>
    <row r="83" spans="1:7" ht="15.5" x14ac:dyDescent="0.35">
      <c r="A83" s="49">
        <v>82</v>
      </c>
      <c r="B83" s="13" t="s">
        <v>204</v>
      </c>
      <c r="C83" s="54">
        <v>0.54</v>
      </c>
      <c r="D83" s="55">
        <f t="shared" si="1"/>
        <v>111.1111111111111</v>
      </c>
      <c r="E83" s="13" t="s">
        <v>130</v>
      </c>
      <c r="F83" s="13" t="s">
        <v>50</v>
      </c>
      <c r="G83" s="13" t="s">
        <v>211</v>
      </c>
    </row>
    <row r="84" spans="1:7" ht="15.5" x14ac:dyDescent="0.35">
      <c r="A84" s="49">
        <v>83</v>
      </c>
      <c r="B84" s="13" t="s">
        <v>121</v>
      </c>
      <c r="C84" s="54">
        <v>0.44444444444444442</v>
      </c>
      <c r="D84" s="55">
        <f t="shared" si="1"/>
        <v>135</v>
      </c>
      <c r="E84" s="13" t="s">
        <v>130</v>
      </c>
      <c r="F84" s="13" t="s">
        <v>50</v>
      </c>
      <c r="G84" s="13" t="s">
        <v>211</v>
      </c>
    </row>
    <row r="85" spans="1:7" ht="15.5" x14ac:dyDescent="0.35">
      <c r="A85" s="49">
        <v>84</v>
      </c>
      <c r="B85" s="13" t="s">
        <v>205</v>
      </c>
      <c r="C85" s="54">
        <v>0.44444444444444442</v>
      </c>
      <c r="D85" s="55">
        <f t="shared" si="1"/>
        <v>135</v>
      </c>
      <c r="E85" s="13" t="s">
        <v>130</v>
      </c>
      <c r="F85" s="13" t="s">
        <v>50</v>
      </c>
      <c r="G85" s="13" t="s">
        <v>211</v>
      </c>
    </row>
    <row r="86" spans="1:7" ht="15.5" x14ac:dyDescent="0.35">
      <c r="A86" s="49">
        <v>85</v>
      </c>
      <c r="B86" s="13" t="s">
        <v>206</v>
      </c>
      <c r="C86" s="54">
        <v>0.44444444444444442</v>
      </c>
      <c r="D86" s="55">
        <f t="shared" ref="D86:D123" si="2">60/C86</f>
        <v>135</v>
      </c>
      <c r="E86" s="13" t="s">
        <v>130</v>
      </c>
      <c r="F86" s="13" t="s">
        <v>50</v>
      </c>
      <c r="G86" s="13" t="s">
        <v>211</v>
      </c>
    </row>
    <row r="87" spans="1:7" ht="15.5" x14ac:dyDescent="0.35">
      <c r="A87" s="49">
        <v>86</v>
      </c>
      <c r="B87" s="13" t="s">
        <v>125</v>
      </c>
      <c r="C87" s="54">
        <v>0.5</v>
      </c>
      <c r="D87" s="55">
        <f t="shared" si="2"/>
        <v>120</v>
      </c>
      <c r="E87" s="13" t="s">
        <v>130</v>
      </c>
      <c r="F87" s="13" t="s">
        <v>50</v>
      </c>
      <c r="G87" s="13" t="s">
        <v>211</v>
      </c>
    </row>
    <row r="88" spans="1:7" ht="15.5" x14ac:dyDescent="0.35">
      <c r="A88" s="49">
        <v>87</v>
      </c>
      <c r="B88" s="13" t="s">
        <v>127</v>
      </c>
      <c r="C88" s="54">
        <v>0.54</v>
      </c>
      <c r="D88" s="55">
        <f t="shared" si="2"/>
        <v>111.1111111111111</v>
      </c>
      <c r="E88" s="13" t="s">
        <v>130</v>
      </c>
      <c r="F88" s="13" t="s">
        <v>50</v>
      </c>
      <c r="G88" s="13" t="s">
        <v>211</v>
      </c>
    </row>
    <row r="89" spans="1:7" ht="15.5" x14ac:dyDescent="0.35">
      <c r="A89" s="49">
        <v>88</v>
      </c>
      <c r="B89" s="13" t="s">
        <v>207</v>
      </c>
      <c r="C89" s="54">
        <v>0.44444444444444442</v>
      </c>
      <c r="D89" s="55">
        <f t="shared" si="2"/>
        <v>135</v>
      </c>
      <c r="E89" s="13" t="s">
        <v>130</v>
      </c>
      <c r="F89" s="13" t="s">
        <v>50</v>
      </c>
      <c r="G89" s="13" t="s">
        <v>211</v>
      </c>
    </row>
    <row r="90" spans="1:7" ht="15.5" x14ac:dyDescent="0.35">
      <c r="A90" s="49">
        <v>89</v>
      </c>
      <c r="B90" s="13" t="s">
        <v>101</v>
      </c>
      <c r="C90" s="54">
        <v>0.3</v>
      </c>
      <c r="D90" s="55">
        <f t="shared" si="2"/>
        <v>200</v>
      </c>
      <c r="E90" s="13" t="s">
        <v>117</v>
      </c>
      <c r="F90" s="13" t="s">
        <v>50</v>
      </c>
      <c r="G90" s="13" t="s">
        <v>211</v>
      </c>
    </row>
    <row r="91" spans="1:7" ht="15.5" x14ac:dyDescent="0.35">
      <c r="A91" s="49">
        <v>90</v>
      </c>
      <c r="B91" s="13" t="s">
        <v>103</v>
      </c>
      <c r="C91" s="54">
        <v>0.63157894736842102</v>
      </c>
      <c r="D91" s="55">
        <f t="shared" si="2"/>
        <v>95</v>
      </c>
      <c r="E91" s="13" t="s">
        <v>117</v>
      </c>
      <c r="F91" s="13" t="s">
        <v>50</v>
      </c>
      <c r="G91" s="13" t="s">
        <v>211</v>
      </c>
    </row>
    <row r="92" spans="1:7" ht="15.5" x14ac:dyDescent="0.35">
      <c r="A92" s="49">
        <v>91</v>
      </c>
      <c r="B92" s="13" t="s">
        <v>104</v>
      </c>
      <c r="C92" s="54">
        <v>0.8</v>
      </c>
      <c r="D92" s="55">
        <f t="shared" si="2"/>
        <v>75</v>
      </c>
      <c r="E92" s="13" t="s">
        <v>117</v>
      </c>
      <c r="F92" s="13" t="s">
        <v>50</v>
      </c>
      <c r="G92" s="13" t="s">
        <v>211</v>
      </c>
    </row>
    <row r="93" spans="1:7" ht="15.5" x14ac:dyDescent="0.35">
      <c r="A93" s="49">
        <v>92</v>
      </c>
      <c r="B93" s="13" t="s">
        <v>105</v>
      </c>
      <c r="C93" s="54">
        <v>0.6</v>
      </c>
      <c r="D93" s="55">
        <f t="shared" si="2"/>
        <v>100</v>
      </c>
      <c r="E93" s="13" t="s">
        <v>117</v>
      </c>
      <c r="F93" s="13" t="s">
        <v>50</v>
      </c>
      <c r="G93" s="13" t="s">
        <v>211</v>
      </c>
    </row>
    <row r="94" spans="1:7" ht="15.5" x14ac:dyDescent="0.35">
      <c r="A94" s="49">
        <v>93</v>
      </c>
      <c r="B94" s="13" t="s">
        <v>107</v>
      </c>
      <c r="C94" s="54">
        <v>0.75</v>
      </c>
      <c r="D94" s="55">
        <f t="shared" si="2"/>
        <v>80</v>
      </c>
      <c r="E94" s="13" t="s">
        <v>117</v>
      </c>
      <c r="F94" s="13" t="s">
        <v>50</v>
      </c>
      <c r="G94" s="13" t="s">
        <v>211</v>
      </c>
    </row>
    <row r="95" spans="1:7" ht="15.5" x14ac:dyDescent="0.35">
      <c r="A95" s="49">
        <v>94</v>
      </c>
      <c r="B95" s="13" t="s">
        <v>108</v>
      </c>
      <c r="C95" s="54">
        <v>0.67</v>
      </c>
      <c r="D95" s="55">
        <f t="shared" si="2"/>
        <v>89.552238805970148</v>
      </c>
      <c r="E95" s="13" t="s">
        <v>117</v>
      </c>
      <c r="F95" s="13" t="s">
        <v>50</v>
      </c>
      <c r="G95" s="13" t="s">
        <v>211</v>
      </c>
    </row>
    <row r="96" spans="1:7" ht="15.5" x14ac:dyDescent="0.35">
      <c r="A96" s="49">
        <v>95</v>
      </c>
      <c r="B96" s="13" t="s">
        <v>109</v>
      </c>
      <c r="C96" s="54">
        <v>0.67</v>
      </c>
      <c r="D96" s="55">
        <f t="shared" si="2"/>
        <v>89.552238805970148</v>
      </c>
      <c r="E96" s="13" t="s">
        <v>117</v>
      </c>
      <c r="F96" s="13" t="s">
        <v>50</v>
      </c>
      <c r="G96" s="13" t="s">
        <v>211</v>
      </c>
    </row>
    <row r="97" spans="1:7" ht="15.5" x14ac:dyDescent="0.35">
      <c r="A97" s="49">
        <v>96</v>
      </c>
      <c r="B97" s="13" t="s">
        <v>110</v>
      </c>
      <c r="C97" s="54">
        <v>0.63157894736842102</v>
      </c>
      <c r="D97" s="55">
        <f t="shared" si="2"/>
        <v>95</v>
      </c>
      <c r="E97" s="13" t="s">
        <v>117</v>
      </c>
      <c r="F97" s="13" t="s">
        <v>50</v>
      </c>
      <c r="G97" s="13" t="s">
        <v>211</v>
      </c>
    </row>
    <row r="98" spans="1:7" ht="15.5" x14ac:dyDescent="0.35">
      <c r="A98" s="49">
        <v>97</v>
      </c>
      <c r="B98" s="13" t="s">
        <v>111</v>
      </c>
      <c r="C98" s="54">
        <v>0.8571428571428571</v>
      </c>
      <c r="D98" s="55">
        <f t="shared" si="2"/>
        <v>70</v>
      </c>
      <c r="E98" s="13" t="s">
        <v>117</v>
      </c>
      <c r="F98" s="13" t="s">
        <v>50</v>
      </c>
      <c r="G98" s="13" t="s">
        <v>211</v>
      </c>
    </row>
    <row r="99" spans="1:7" ht="15.5" x14ac:dyDescent="0.35">
      <c r="A99" s="49">
        <v>98</v>
      </c>
      <c r="B99" s="13" t="s">
        <v>112</v>
      </c>
      <c r="C99" s="54">
        <v>0.6</v>
      </c>
      <c r="D99" s="55">
        <f t="shared" si="2"/>
        <v>100</v>
      </c>
      <c r="E99" s="13" t="s">
        <v>117</v>
      </c>
      <c r="F99" s="13" t="s">
        <v>50</v>
      </c>
      <c r="G99" s="13" t="s">
        <v>211</v>
      </c>
    </row>
    <row r="100" spans="1:7" ht="15.5" x14ac:dyDescent="0.35">
      <c r="A100" s="49">
        <v>99</v>
      </c>
      <c r="B100" s="13" t="s">
        <v>114</v>
      </c>
      <c r="C100" s="54">
        <v>0.54545454545454541</v>
      </c>
      <c r="D100" s="55">
        <f t="shared" si="2"/>
        <v>110.00000000000001</v>
      </c>
      <c r="E100" s="13" t="s">
        <v>117</v>
      </c>
      <c r="F100" s="13" t="s">
        <v>50</v>
      </c>
      <c r="G100" s="13" t="s">
        <v>211</v>
      </c>
    </row>
    <row r="101" spans="1:7" ht="15.5" x14ac:dyDescent="0.35">
      <c r="A101" s="49">
        <v>100</v>
      </c>
      <c r="B101" s="13" t="s">
        <v>213</v>
      </c>
      <c r="C101" s="54">
        <v>0.54545454545454541</v>
      </c>
      <c r="D101" s="55">
        <f t="shared" si="2"/>
        <v>110.00000000000001</v>
      </c>
      <c r="E101" s="13" t="s">
        <v>212</v>
      </c>
      <c r="F101" s="13" t="s">
        <v>50</v>
      </c>
      <c r="G101" s="13" t="s">
        <v>210</v>
      </c>
    </row>
    <row r="102" spans="1:7" ht="15.5" x14ac:dyDescent="0.35">
      <c r="A102" s="49">
        <v>101</v>
      </c>
      <c r="B102" s="13" t="s">
        <v>28</v>
      </c>
      <c r="C102" s="54">
        <v>0.65934065934065933</v>
      </c>
      <c r="D102" s="55">
        <f t="shared" si="2"/>
        <v>91</v>
      </c>
      <c r="E102" s="13" t="s">
        <v>212</v>
      </c>
      <c r="F102" s="13" t="s">
        <v>50</v>
      </c>
      <c r="G102" s="13" t="s">
        <v>210</v>
      </c>
    </row>
    <row r="103" spans="1:7" ht="15.5" x14ac:dyDescent="0.35">
      <c r="A103" s="49">
        <v>102</v>
      </c>
      <c r="B103" s="13" t="s">
        <v>214</v>
      </c>
      <c r="C103" s="54">
        <v>0.65934065934065933</v>
      </c>
      <c r="D103" s="55">
        <f t="shared" si="2"/>
        <v>91</v>
      </c>
      <c r="E103" s="13" t="s">
        <v>212</v>
      </c>
      <c r="F103" s="13" t="s">
        <v>50</v>
      </c>
      <c r="G103" s="13" t="s">
        <v>210</v>
      </c>
    </row>
    <row r="104" spans="1:7" ht="15.5" x14ac:dyDescent="0.35">
      <c r="A104" s="49">
        <v>103</v>
      </c>
      <c r="B104" s="13" t="s">
        <v>216</v>
      </c>
      <c r="C104" s="54">
        <v>0.65934065934065933</v>
      </c>
      <c r="D104" s="55">
        <f t="shared" si="2"/>
        <v>91</v>
      </c>
      <c r="E104" s="13" t="s">
        <v>212</v>
      </c>
      <c r="F104" s="13" t="s">
        <v>50</v>
      </c>
      <c r="G104" s="13" t="s">
        <v>210</v>
      </c>
    </row>
    <row r="105" spans="1:7" ht="15.5" x14ac:dyDescent="0.35">
      <c r="A105" s="49">
        <v>104</v>
      </c>
      <c r="B105" s="13" t="s">
        <v>218</v>
      </c>
      <c r="C105" s="54">
        <v>0.65934065934065933</v>
      </c>
      <c r="D105" s="55">
        <f t="shared" si="2"/>
        <v>91</v>
      </c>
      <c r="E105" s="13" t="s">
        <v>212</v>
      </c>
      <c r="F105" s="13" t="s">
        <v>50</v>
      </c>
      <c r="G105" s="13" t="s">
        <v>210</v>
      </c>
    </row>
    <row r="106" spans="1:7" ht="15.5" x14ac:dyDescent="0.35">
      <c r="A106" s="49">
        <v>105</v>
      </c>
      <c r="B106" s="13" t="s">
        <v>89</v>
      </c>
      <c r="C106" s="54">
        <v>2</v>
      </c>
      <c r="D106" s="55">
        <f t="shared" si="2"/>
        <v>30</v>
      </c>
      <c r="E106" s="13" t="s">
        <v>212</v>
      </c>
      <c r="F106" s="13" t="s">
        <v>50</v>
      </c>
      <c r="G106" s="13" t="s">
        <v>210</v>
      </c>
    </row>
    <row r="107" spans="1:7" ht="15.5" x14ac:dyDescent="0.35">
      <c r="A107" s="49">
        <v>106</v>
      </c>
      <c r="B107" s="13" t="s">
        <v>219</v>
      </c>
      <c r="C107" s="54">
        <v>0.5</v>
      </c>
      <c r="D107" s="55">
        <f t="shared" si="2"/>
        <v>120</v>
      </c>
      <c r="E107" s="13" t="s">
        <v>212</v>
      </c>
      <c r="F107" s="13" t="s">
        <v>50</v>
      </c>
      <c r="G107" s="13" t="s">
        <v>210</v>
      </c>
    </row>
    <row r="108" spans="1:7" ht="15.5" x14ac:dyDescent="0.35">
      <c r="A108" s="49">
        <v>107</v>
      </c>
      <c r="B108" s="13" t="s">
        <v>220</v>
      </c>
      <c r="C108" s="54">
        <v>0.21978021978021978</v>
      </c>
      <c r="D108" s="55">
        <f t="shared" si="2"/>
        <v>273</v>
      </c>
      <c r="E108" s="13" t="s">
        <v>212</v>
      </c>
      <c r="F108" s="13" t="s">
        <v>50</v>
      </c>
      <c r="G108" s="13" t="s">
        <v>210</v>
      </c>
    </row>
    <row r="109" spans="1:7" ht="15.5" x14ac:dyDescent="0.35">
      <c r="A109" s="49">
        <v>108</v>
      </c>
      <c r="B109" s="13" t="s">
        <v>222</v>
      </c>
      <c r="C109" s="54">
        <v>0.5</v>
      </c>
      <c r="D109" s="55">
        <f t="shared" si="2"/>
        <v>120</v>
      </c>
      <c r="E109" s="13" t="s">
        <v>212</v>
      </c>
      <c r="F109" s="13" t="s">
        <v>50</v>
      </c>
      <c r="G109" s="13" t="s">
        <v>210</v>
      </c>
    </row>
    <row r="110" spans="1:7" ht="15.5" x14ac:dyDescent="0.35">
      <c r="A110" s="49">
        <v>109</v>
      </c>
      <c r="B110" s="13" t="s">
        <v>225</v>
      </c>
      <c r="C110" s="54">
        <v>1.5</v>
      </c>
      <c r="D110" s="55">
        <f t="shared" si="2"/>
        <v>40</v>
      </c>
      <c r="E110" s="13" t="s">
        <v>212</v>
      </c>
      <c r="F110" s="13" t="s">
        <v>50</v>
      </c>
      <c r="G110" s="13" t="s">
        <v>210</v>
      </c>
    </row>
    <row r="111" spans="1:7" ht="15.5" x14ac:dyDescent="0.35">
      <c r="A111" s="49">
        <v>110</v>
      </c>
      <c r="B111" s="13" t="s">
        <v>226</v>
      </c>
      <c r="C111" s="54">
        <v>1.3333333333333333</v>
      </c>
      <c r="D111" s="55">
        <f t="shared" si="2"/>
        <v>45</v>
      </c>
      <c r="E111" s="13" t="s">
        <v>212</v>
      </c>
      <c r="F111" s="13" t="s">
        <v>50</v>
      </c>
      <c r="G111" s="13" t="s">
        <v>210</v>
      </c>
    </row>
    <row r="112" spans="1:7" ht="15.5" x14ac:dyDescent="0.35">
      <c r="A112" s="49">
        <v>111</v>
      </c>
      <c r="B112" s="13" t="s">
        <v>227</v>
      </c>
      <c r="C112" s="54">
        <v>0.63157894736842102</v>
      </c>
      <c r="D112" s="55">
        <f t="shared" si="2"/>
        <v>95</v>
      </c>
      <c r="E112" s="13" t="s">
        <v>212</v>
      </c>
      <c r="F112" s="13" t="s">
        <v>50</v>
      </c>
      <c r="G112" s="13" t="s">
        <v>210</v>
      </c>
    </row>
    <row r="113" spans="1:7" ht="15.5" x14ac:dyDescent="0.35">
      <c r="A113" s="49">
        <v>112</v>
      </c>
      <c r="B113" s="13" t="s">
        <v>228</v>
      </c>
      <c r="C113" s="54">
        <v>0.8</v>
      </c>
      <c r="D113" s="55">
        <f t="shared" si="2"/>
        <v>75</v>
      </c>
      <c r="E113" s="13" t="s">
        <v>212</v>
      </c>
      <c r="F113" s="13" t="s">
        <v>50</v>
      </c>
      <c r="G113" s="13" t="s">
        <v>210</v>
      </c>
    </row>
    <row r="114" spans="1:7" ht="15.5" x14ac:dyDescent="0.35">
      <c r="A114" s="49">
        <v>113</v>
      </c>
      <c r="B114" s="13" t="s">
        <v>229</v>
      </c>
      <c r="C114" s="54">
        <v>0.75</v>
      </c>
      <c r="D114" s="55">
        <f t="shared" si="2"/>
        <v>80</v>
      </c>
      <c r="E114" s="13" t="s">
        <v>212</v>
      </c>
      <c r="F114" s="13" t="s">
        <v>50</v>
      </c>
      <c r="G114" s="13" t="s">
        <v>210</v>
      </c>
    </row>
    <row r="115" spans="1:7" ht="15.5" x14ac:dyDescent="0.35">
      <c r="A115" s="49">
        <v>114</v>
      </c>
      <c r="B115" s="13" t="s">
        <v>62</v>
      </c>
      <c r="C115" s="54">
        <v>0.6</v>
      </c>
      <c r="D115" s="55">
        <f t="shared" si="2"/>
        <v>100</v>
      </c>
      <c r="E115" s="13" t="s">
        <v>231</v>
      </c>
      <c r="F115" s="13" t="s">
        <v>50</v>
      </c>
      <c r="G115" s="13" t="s">
        <v>210</v>
      </c>
    </row>
    <row r="116" spans="1:7" ht="15.5" x14ac:dyDescent="0.35">
      <c r="A116" s="49">
        <v>115</v>
      </c>
      <c r="B116" s="13" t="s">
        <v>63</v>
      </c>
      <c r="C116" s="54">
        <v>0.4</v>
      </c>
      <c r="D116" s="55">
        <f t="shared" si="2"/>
        <v>150</v>
      </c>
      <c r="E116" s="13" t="s">
        <v>231</v>
      </c>
      <c r="F116" s="13" t="s">
        <v>50</v>
      </c>
      <c r="G116" s="13" t="s">
        <v>210</v>
      </c>
    </row>
    <row r="117" spans="1:7" ht="15.5" x14ac:dyDescent="0.35">
      <c r="A117" s="49">
        <v>116</v>
      </c>
      <c r="B117" s="13" t="s">
        <v>75</v>
      </c>
      <c r="C117" s="54">
        <v>0.6</v>
      </c>
      <c r="D117" s="55">
        <f t="shared" si="2"/>
        <v>100</v>
      </c>
      <c r="E117" s="13" t="s">
        <v>231</v>
      </c>
      <c r="F117" s="13" t="s">
        <v>50</v>
      </c>
      <c r="G117" s="13" t="s">
        <v>210</v>
      </c>
    </row>
    <row r="118" spans="1:7" ht="15.5" x14ac:dyDescent="0.35">
      <c r="A118" s="49">
        <v>117</v>
      </c>
      <c r="B118" s="13" t="s">
        <v>66</v>
      </c>
      <c r="C118" s="54">
        <v>0.75</v>
      </c>
      <c r="D118" s="55">
        <f t="shared" si="2"/>
        <v>80</v>
      </c>
      <c r="E118" s="13" t="s">
        <v>231</v>
      </c>
      <c r="F118" s="13" t="s">
        <v>50</v>
      </c>
      <c r="G118" s="13" t="s">
        <v>210</v>
      </c>
    </row>
    <row r="119" spans="1:7" ht="15.5" x14ac:dyDescent="0.35">
      <c r="A119" s="49">
        <v>118</v>
      </c>
      <c r="B119" s="13" t="s">
        <v>67</v>
      </c>
      <c r="C119" s="54">
        <v>1</v>
      </c>
      <c r="D119" s="55">
        <f t="shared" si="2"/>
        <v>60</v>
      </c>
      <c r="E119" s="13" t="s">
        <v>231</v>
      </c>
      <c r="F119" s="13" t="s">
        <v>50</v>
      </c>
      <c r="G119" s="13" t="s">
        <v>210</v>
      </c>
    </row>
    <row r="120" spans="1:7" ht="15.5" x14ac:dyDescent="0.35">
      <c r="A120" s="49">
        <v>119</v>
      </c>
      <c r="B120" s="13" t="s">
        <v>68</v>
      </c>
      <c r="C120" s="54">
        <v>2</v>
      </c>
      <c r="D120" s="55">
        <f t="shared" si="2"/>
        <v>30</v>
      </c>
      <c r="E120" s="13" t="s">
        <v>231</v>
      </c>
      <c r="F120" s="13" t="s">
        <v>50</v>
      </c>
      <c r="G120" s="13" t="s">
        <v>210</v>
      </c>
    </row>
    <row r="121" spans="1:7" ht="15.5" x14ac:dyDescent="0.35">
      <c r="A121" s="49">
        <v>120</v>
      </c>
      <c r="B121" s="13" t="s">
        <v>69</v>
      </c>
      <c r="C121" s="54">
        <v>2</v>
      </c>
      <c r="D121" s="55">
        <f t="shared" si="2"/>
        <v>30</v>
      </c>
      <c r="E121" s="13" t="s">
        <v>231</v>
      </c>
      <c r="F121" s="13" t="s">
        <v>50</v>
      </c>
      <c r="G121" s="13" t="s">
        <v>210</v>
      </c>
    </row>
    <row r="122" spans="1:7" ht="15.5" x14ac:dyDescent="0.35">
      <c r="A122" s="49">
        <v>121</v>
      </c>
      <c r="B122" s="13" t="s">
        <v>70</v>
      </c>
      <c r="C122" s="54">
        <v>0.8571428571428571</v>
      </c>
      <c r="D122" s="55">
        <f t="shared" si="2"/>
        <v>70</v>
      </c>
      <c r="E122" s="13" t="s">
        <v>231</v>
      </c>
      <c r="F122" s="13" t="s">
        <v>50</v>
      </c>
      <c r="G122" s="13" t="s">
        <v>210</v>
      </c>
    </row>
    <row r="123" spans="1:7" ht="15.5" x14ac:dyDescent="0.35">
      <c r="A123" s="49">
        <v>122</v>
      </c>
      <c r="B123" s="13" t="s">
        <v>74</v>
      </c>
      <c r="C123" s="54">
        <v>1.2</v>
      </c>
      <c r="D123" s="55">
        <f t="shared" si="2"/>
        <v>50</v>
      </c>
      <c r="E123" s="13" t="s">
        <v>231</v>
      </c>
      <c r="F123" s="13" t="s">
        <v>50</v>
      </c>
      <c r="G123" s="13" t="s">
        <v>210</v>
      </c>
    </row>
    <row r="124" spans="1:7" x14ac:dyDescent="0.35">
      <c r="C124" s="2">
        <f>SUM(C2:C123)</f>
        <v>92.829109924615864</v>
      </c>
    </row>
    <row r="126" spans="1:7" x14ac:dyDescent="0.35">
      <c r="C126" s="1">
        <v>1000</v>
      </c>
      <c r="D126" s="1">
        <f>C126/9.5</f>
        <v>105.26315789473684</v>
      </c>
    </row>
    <row r="127" spans="1:7" x14ac:dyDescent="0.35">
      <c r="C127" s="1">
        <f>+C126*C124</f>
        <v>92829.10992461587</v>
      </c>
    </row>
    <row r="128" spans="1:7" x14ac:dyDescent="0.35">
      <c r="C128" s="1">
        <f>C127/570</f>
        <v>162.85808758704539</v>
      </c>
    </row>
    <row r="129" spans="3:3" x14ac:dyDescent="0.35">
      <c r="C129" s="1">
        <f>C128/0.9</f>
        <v>180.95343065227266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35F5C-8642-4A92-BF67-676B59111AB5}">
  <sheetPr>
    <tabColor theme="4" tint="0.79998168889431442"/>
    <pageSetUpPr fitToPage="1"/>
  </sheetPr>
  <dimension ref="A1:W30"/>
  <sheetViews>
    <sheetView zoomScale="90" zoomScaleNormal="90" zoomScaleSheetLayoutView="85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M27" sqref="M27"/>
    </sheetView>
  </sheetViews>
  <sheetFormatPr baseColWidth="10" defaultColWidth="11.453125" defaultRowHeight="14.5" x14ac:dyDescent="0.35"/>
  <cols>
    <col min="1" max="1" width="3.7265625" style="1" customWidth="1"/>
    <col min="2" max="2" width="36" style="1" bestFit="1" customWidth="1"/>
    <col min="3" max="3" width="8.90625" style="1" bestFit="1" customWidth="1"/>
    <col min="4" max="4" width="7.1796875" style="1" bestFit="1" customWidth="1"/>
    <col min="5" max="5" width="6.26953125" style="1" bestFit="1" customWidth="1"/>
    <col min="6" max="6" width="6.26953125" style="1" customWidth="1"/>
    <col min="7" max="7" width="14.7265625" style="1" customWidth="1"/>
    <col min="8" max="8" width="12.90625" style="1" bestFit="1" customWidth="1"/>
    <col min="9" max="9" width="11.81640625" style="1" bestFit="1" customWidth="1"/>
    <col min="10" max="10" width="14.7265625" style="1" bestFit="1" customWidth="1"/>
    <col min="11" max="11" width="10.90625" style="1" bestFit="1" customWidth="1"/>
    <col min="12" max="12" width="14.7265625" style="1" bestFit="1" customWidth="1"/>
    <col min="13" max="13" width="22.90625" style="1" bestFit="1" customWidth="1"/>
    <col min="14" max="14" width="24.7265625" style="1" bestFit="1" customWidth="1"/>
    <col min="15" max="15" width="13.1796875" style="1" bestFit="1" customWidth="1"/>
    <col min="16" max="16" width="14.81640625" style="1" bestFit="1" customWidth="1"/>
    <col min="17" max="17" width="13.1796875" style="1" bestFit="1" customWidth="1"/>
    <col min="18" max="18" width="20" style="1" bestFit="1" customWidth="1"/>
    <col min="19" max="19" width="11.81640625" style="1" bestFit="1" customWidth="1"/>
    <col min="20" max="20" width="14.7265625" style="1" bestFit="1" customWidth="1"/>
    <col min="21" max="21" width="3.1796875" style="1" customWidth="1"/>
    <col min="22" max="16384" width="11.453125" style="1"/>
  </cols>
  <sheetData>
    <row r="1" spans="1:23" ht="15.5" x14ac:dyDescent="0.35">
      <c r="A1" s="5" t="s">
        <v>42</v>
      </c>
      <c r="B1" s="3" t="s">
        <v>1</v>
      </c>
      <c r="C1" s="3" t="s">
        <v>43</v>
      </c>
      <c r="D1" s="3" t="s">
        <v>2</v>
      </c>
      <c r="E1" s="3" t="s">
        <v>3</v>
      </c>
      <c r="F1" s="3" t="s">
        <v>53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</v>
      </c>
      <c r="L1" s="3" t="s">
        <v>61</v>
      </c>
      <c r="M1" s="3" t="s">
        <v>37</v>
      </c>
      <c r="N1" s="3" t="s">
        <v>38</v>
      </c>
      <c r="O1" s="3" t="s">
        <v>48</v>
      </c>
      <c r="P1" s="3" t="s">
        <v>49</v>
      </c>
      <c r="Q1" s="3" t="s">
        <v>51</v>
      </c>
      <c r="R1" s="3" t="s">
        <v>174</v>
      </c>
      <c r="S1" s="3" t="s">
        <v>46</v>
      </c>
      <c r="T1" s="3" t="s">
        <v>47</v>
      </c>
      <c r="V1" s="1" t="s">
        <v>190</v>
      </c>
    </row>
    <row r="2" spans="1:23" ht="15.5" x14ac:dyDescent="0.35">
      <c r="A2" s="5">
        <v>1</v>
      </c>
      <c r="B2" s="5" t="s">
        <v>5</v>
      </c>
      <c r="C2" s="5">
        <v>9.5</v>
      </c>
      <c r="D2" s="5">
        <v>0.45</v>
      </c>
      <c r="E2" s="6">
        <f>60/D2</f>
        <v>133.33333333333334</v>
      </c>
      <c r="F2" s="6">
        <v>133</v>
      </c>
      <c r="G2" s="6">
        <f>F2*C2</f>
        <v>1263.5</v>
      </c>
      <c r="H2" s="5">
        <v>855</v>
      </c>
      <c r="I2" s="7">
        <f>+H2/E2</f>
        <v>6.4124999999999996</v>
      </c>
      <c r="J2" s="7">
        <f>I2/C2</f>
        <v>0.67499999999999993</v>
      </c>
      <c r="K2" s="7">
        <v>1</v>
      </c>
      <c r="L2" s="7">
        <f>IFERROR(((H2/F2)/$C$2)," ")</f>
        <v>0.67669172932330834</v>
      </c>
      <c r="M2" s="5" t="s">
        <v>0</v>
      </c>
      <c r="N2" s="5" t="s">
        <v>6</v>
      </c>
      <c r="O2" s="5" t="s">
        <v>39</v>
      </c>
      <c r="P2" s="6" t="s">
        <v>50</v>
      </c>
      <c r="Q2" s="5" t="s">
        <v>54</v>
      </c>
      <c r="R2" s="6">
        <v>133</v>
      </c>
      <c r="S2" s="7">
        <f>IFERROR((H2/R2)," ")</f>
        <v>6.4285714285714288</v>
      </c>
      <c r="T2" s="7">
        <f>IFERROR((S2/$C$2)," ")</f>
        <v>0.67669172932330834</v>
      </c>
      <c r="V2" s="2">
        <f>60/R2</f>
        <v>0.45112781954887216</v>
      </c>
    </row>
    <row r="3" spans="1:23" ht="15.5" x14ac:dyDescent="0.35">
      <c r="A3" s="5">
        <v>2</v>
      </c>
      <c r="B3" s="5" t="s">
        <v>7</v>
      </c>
      <c r="C3" s="5">
        <v>9.5</v>
      </c>
      <c r="D3" s="7">
        <v>0.75</v>
      </c>
      <c r="E3" s="6">
        <f>60/D3</f>
        <v>80</v>
      </c>
      <c r="F3" s="6">
        <v>90</v>
      </c>
      <c r="G3" s="6">
        <f t="shared" ref="G3:G22" si="0">F3*C3</f>
        <v>855</v>
      </c>
      <c r="H3" s="5">
        <v>855</v>
      </c>
      <c r="I3" s="7">
        <f t="shared" ref="I3:I22" si="1">+H3/E3</f>
        <v>10.6875</v>
      </c>
      <c r="J3" s="7">
        <f t="shared" ref="J3:J22" si="2">I3/C3</f>
        <v>1.125</v>
      </c>
      <c r="K3" s="7">
        <v>1</v>
      </c>
      <c r="L3" s="7">
        <f t="shared" ref="L3:L22" si="3">IFERROR(((H3/F3)/$C$2)," ")</f>
        <v>1</v>
      </c>
      <c r="M3" s="5" t="s">
        <v>0</v>
      </c>
      <c r="N3" s="5" t="s">
        <v>8</v>
      </c>
      <c r="O3" s="5" t="s">
        <v>39</v>
      </c>
      <c r="P3" s="6" t="s">
        <v>50</v>
      </c>
      <c r="Q3" s="42">
        <v>60</v>
      </c>
      <c r="R3" s="6">
        <v>90</v>
      </c>
      <c r="S3" s="7">
        <f t="shared" ref="S3:S22" si="4">IFERROR((H3/R3)," ")</f>
        <v>9.5</v>
      </c>
      <c r="T3" s="7">
        <f t="shared" ref="T3:T22" si="5">IFERROR((S3/$C$2)," ")</f>
        <v>1</v>
      </c>
      <c r="V3" s="2">
        <f t="shared" ref="V3:V21" si="6">60/R3</f>
        <v>0.66666666666666663</v>
      </c>
    </row>
    <row r="4" spans="1:23" ht="15.5" x14ac:dyDescent="0.35">
      <c r="A4" s="5">
        <v>3</v>
      </c>
      <c r="B4" s="5" t="s">
        <v>9</v>
      </c>
      <c r="C4" s="5">
        <v>9.5</v>
      </c>
      <c r="D4" s="7">
        <v>0.6</v>
      </c>
      <c r="E4" s="6">
        <v>100</v>
      </c>
      <c r="F4" s="6">
        <v>85</v>
      </c>
      <c r="G4" s="6">
        <f t="shared" si="0"/>
        <v>807.5</v>
      </c>
      <c r="H4" s="5">
        <v>855</v>
      </c>
      <c r="I4" s="7">
        <f t="shared" si="1"/>
        <v>8.5500000000000007</v>
      </c>
      <c r="J4" s="7">
        <f t="shared" si="2"/>
        <v>0.9</v>
      </c>
      <c r="K4" s="7">
        <v>1</v>
      </c>
      <c r="L4" s="7">
        <f t="shared" si="3"/>
        <v>1.0588235294117647</v>
      </c>
      <c r="M4" s="5" t="s">
        <v>0</v>
      </c>
      <c r="N4" s="5" t="s">
        <v>10</v>
      </c>
      <c r="O4" s="5" t="s">
        <v>40</v>
      </c>
      <c r="P4" s="6" t="s">
        <v>50</v>
      </c>
      <c r="Q4" s="6">
        <v>85</v>
      </c>
      <c r="R4" s="6">
        <v>95</v>
      </c>
      <c r="S4" s="7">
        <f t="shared" si="4"/>
        <v>9</v>
      </c>
      <c r="T4" s="7">
        <f t="shared" si="5"/>
        <v>0.94736842105263153</v>
      </c>
      <c r="V4" s="2">
        <f t="shared" si="6"/>
        <v>0.63157894736842102</v>
      </c>
    </row>
    <row r="5" spans="1:23" ht="15.5" x14ac:dyDescent="0.35">
      <c r="A5" s="5">
        <v>4</v>
      </c>
      <c r="B5" s="5" t="s">
        <v>11</v>
      </c>
      <c r="C5" s="5">
        <v>9.5</v>
      </c>
      <c r="D5" s="7">
        <v>1.1299999999999999</v>
      </c>
      <c r="E5" s="6">
        <f>60/D5</f>
        <v>53.097345132743371</v>
      </c>
      <c r="F5" s="6">
        <v>53</v>
      </c>
      <c r="G5" s="6">
        <f t="shared" si="0"/>
        <v>503.5</v>
      </c>
      <c r="H5" s="5">
        <v>855</v>
      </c>
      <c r="I5" s="7">
        <f t="shared" si="1"/>
        <v>16.102499999999999</v>
      </c>
      <c r="J5" s="7">
        <f t="shared" si="2"/>
        <v>1.6949999999999998</v>
      </c>
      <c r="K5" s="7">
        <v>2</v>
      </c>
      <c r="L5" s="7">
        <f t="shared" si="3"/>
        <v>1.6981132075471697</v>
      </c>
      <c r="M5" s="5" t="s">
        <v>0</v>
      </c>
      <c r="N5" s="5" t="s">
        <v>12</v>
      </c>
      <c r="O5" s="5" t="s">
        <v>40</v>
      </c>
      <c r="P5" s="6" t="s">
        <v>50</v>
      </c>
      <c r="Q5" s="6">
        <v>60</v>
      </c>
      <c r="R5" s="6">
        <v>60</v>
      </c>
      <c r="S5" s="7">
        <f t="shared" si="4"/>
        <v>14.25</v>
      </c>
      <c r="T5" s="7">
        <f t="shared" si="5"/>
        <v>1.5</v>
      </c>
      <c r="V5" s="2">
        <f t="shared" si="6"/>
        <v>1</v>
      </c>
    </row>
    <row r="6" spans="1:23" ht="15.5" x14ac:dyDescent="0.35">
      <c r="A6" s="5">
        <v>5</v>
      </c>
      <c r="B6" s="5" t="s">
        <v>13</v>
      </c>
      <c r="C6" s="5">
        <v>9.5</v>
      </c>
      <c r="D6" s="7">
        <v>1.2</v>
      </c>
      <c r="E6" s="6">
        <f>60/D6</f>
        <v>50</v>
      </c>
      <c r="F6" s="6">
        <v>45</v>
      </c>
      <c r="G6" s="6">
        <f t="shared" si="0"/>
        <v>427.5</v>
      </c>
      <c r="H6" s="5">
        <v>855</v>
      </c>
      <c r="I6" s="7">
        <f t="shared" si="1"/>
        <v>17.100000000000001</v>
      </c>
      <c r="J6" s="7">
        <f t="shared" si="2"/>
        <v>1.8</v>
      </c>
      <c r="K6" s="7">
        <v>3</v>
      </c>
      <c r="L6" s="7">
        <f t="shared" si="3"/>
        <v>2</v>
      </c>
      <c r="M6" s="5" t="s">
        <v>0</v>
      </c>
      <c r="N6" s="5" t="s">
        <v>14</v>
      </c>
      <c r="O6" s="5" t="s">
        <v>41</v>
      </c>
      <c r="P6" s="6" t="s">
        <v>50</v>
      </c>
      <c r="Q6" s="6">
        <v>43</v>
      </c>
      <c r="R6" s="6">
        <v>50</v>
      </c>
      <c r="S6" s="7">
        <f t="shared" si="4"/>
        <v>17.100000000000001</v>
      </c>
      <c r="T6" s="7">
        <f t="shared" si="5"/>
        <v>1.8</v>
      </c>
      <c r="U6" s="43"/>
      <c r="V6" s="2">
        <f t="shared" si="6"/>
        <v>1.2</v>
      </c>
      <c r="W6" s="43"/>
    </row>
    <row r="7" spans="1:23" ht="15.5" x14ac:dyDescent="0.35">
      <c r="A7" s="5">
        <v>6</v>
      </c>
      <c r="B7" s="5" t="s">
        <v>15</v>
      </c>
      <c r="C7" s="5">
        <v>9.5</v>
      </c>
      <c r="D7" s="7">
        <v>0.47</v>
      </c>
      <c r="E7" s="6">
        <f>60/D7</f>
        <v>127.65957446808511</v>
      </c>
      <c r="F7" s="6">
        <v>127</v>
      </c>
      <c r="G7" s="6">
        <f t="shared" si="0"/>
        <v>1206.5</v>
      </c>
      <c r="H7" s="5">
        <v>855</v>
      </c>
      <c r="I7" s="7">
        <f t="shared" si="1"/>
        <v>6.6974999999999998</v>
      </c>
      <c r="J7" s="7">
        <f t="shared" si="2"/>
        <v>0.70499999999999996</v>
      </c>
      <c r="K7" s="7">
        <v>1</v>
      </c>
      <c r="L7" s="7">
        <f t="shared" si="3"/>
        <v>0.70866141732283461</v>
      </c>
      <c r="M7" s="5" t="s">
        <v>0</v>
      </c>
      <c r="N7" s="5" t="s">
        <v>16</v>
      </c>
      <c r="O7" s="6" t="s">
        <v>39</v>
      </c>
      <c r="P7" s="6" t="s">
        <v>50</v>
      </c>
      <c r="Q7" s="4" t="s">
        <v>54</v>
      </c>
      <c r="R7" s="44">
        <v>127</v>
      </c>
      <c r="S7" s="7">
        <f t="shared" si="4"/>
        <v>6.7322834645669287</v>
      </c>
      <c r="T7" s="7">
        <f t="shared" si="5"/>
        <v>0.70866141732283461</v>
      </c>
      <c r="V7" s="2">
        <f t="shared" si="6"/>
        <v>0.47244094488188976</v>
      </c>
    </row>
    <row r="8" spans="1:23" ht="15.5" x14ac:dyDescent="0.35">
      <c r="A8" s="5">
        <v>7</v>
      </c>
      <c r="B8" s="5" t="s">
        <v>56</v>
      </c>
      <c r="C8" s="5">
        <v>9.5</v>
      </c>
      <c r="D8" s="7">
        <v>0.71</v>
      </c>
      <c r="E8" s="11">
        <v>60</v>
      </c>
      <c r="F8" s="11">
        <v>60</v>
      </c>
      <c r="G8" s="6">
        <f t="shared" si="0"/>
        <v>570</v>
      </c>
      <c r="H8" s="5">
        <v>855</v>
      </c>
      <c r="I8" s="7">
        <f t="shared" si="1"/>
        <v>14.25</v>
      </c>
      <c r="J8" s="7">
        <f t="shared" si="2"/>
        <v>1.5</v>
      </c>
      <c r="K8" s="7">
        <v>2</v>
      </c>
      <c r="L8" s="7">
        <f t="shared" si="3"/>
        <v>1.5</v>
      </c>
      <c r="M8" s="5" t="s">
        <v>0</v>
      </c>
      <c r="N8" s="5" t="s">
        <v>17</v>
      </c>
      <c r="O8" s="5" t="s">
        <v>40</v>
      </c>
      <c r="P8" s="6" t="s">
        <v>50</v>
      </c>
      <c r="Q8" s="5">
        <v>85</v>
      </c>
      <c r="R8" s="6">
        <v>85</v>
      </c>
      <c r="S8" s="7">
        <f t="shared" si="4"/>
        <v>10.058823529411764</v>
      </c>
      <c r="T8" s="7">
        <f t="shared" si="5"/>
        <v>1.0588235294117647</v>
      </c>
      <c r="V8" s="2">
        <f t="shared" si="6"/>
        <v>0.70588235294117652</v>
      </c>
    </row>
    <row r="9" spans="1:23" ht="15.5" x14ac:dyDescent="0.35">
      <c r="A9" s="5">
        <v>8</v>
      </c>
      <c r="B9" s="5" t="s">
        <v>18</v>
      </c>
      <c r="C9" s="5">
        <v>9.5</v>
      </c>
      <c r="D9" s="7">
        <v>0.54</v>
      </c>
      <c r="E9" s="6">
        <f t="shared" ref="E9:E22" si="7">60/D9</f>
        <v>111.1111111111111</v>
      </c>
      <c r="F9" s="6">
        <v>100</v>
      </c>
      <c r="G9" s="6">
        <f t="shared" si="0"/>
        <v>950</v>
      </c>
      <c r="H9" s="5">
        <v>855</v>
      </c>
      <c r="I9" s="7">
        <f t="shared" si="1"/>
        <v>7.6950000000000012</v>
      </c>
      <c r="J9" s="7">
        <f t="shared" si="2"/>
        <v>0.81000000000000016</v>
      </c>
      <c r="K9" s="7">
        <v>1</v>
      </c>
      <c r="L9" s="7">
        <f t="shared" si="3"/>
        <v>0.9</v>
      </c>
      <c r="M9" s="5" t="s">
        <v>0</v>
      </c>
      <c r="N9" s="5" t="s">
        <v>16</v>
      </c>
      <c r="O9" s="6" t="s">
        <v>39</v>
      </c>
      <c r="P9" s="6" t="s">
        <v>50</v>
      </c>
      <c r="Q9" s="4" t="s">
        <v>54</v>
      </c>
      <c r="R9" s="44" t="s">
        <v>55</v>
      </c>
      <c r="S9" s="7" t="str">
        <f t="shared" si="4"/>
        <v xml:space="preserve"> </v>
      </c>
      <c r="T9" s="7" t="str">
        <f t="shared" si="5"/>
        <v xml:space="preserve"> </v>
      </c>
      <c r="V9" s="2"/>
    </row>
    <row r="10" spans="1:23" ht="15.5" x14ac:dyDescent="0.35">
      <c r="A10" s="5">
        <v>9</v>
      </c>
      <c r="B10" s="5" t="s">
        <v>19</v>
      </c>
      <c r="C10" s="5">
        <v>9.5</v>
      </c>
      <c r="D10" s="7">
        <v>0.54</v>
      </c>
      <c r="E10" s="6">
        <f t="shared" si="7"/>
        <v>111.1111111111111</v>
      </c>
      <c r="F10" s="6">
        <v>100</v>
      </c>
      <c r="G10" s="6">
        <f t="shared" si="0"/>
        <v>950</v>
      </c>
      <c r="H10" s="5">
        <v>855</v>
      </c>
      <c r="I10" s="7">
        <f t="shared" si="1"/>
        <v>7.6950000000000012</v>
      </c>
      <c r="J10" s="7">
        <f t="shared" si="2"/>
        <v>0.81000000000000016</v>
      </c>
      <c r="K10" s="7">
        <v>1</v>
      </c>
      <c r="L10" s="7">
        <f t="shared" si="3"/>
        <v>0.9</v>
      </c>
      <c r="M10" s="5" t="s">
        <v>0</v>
      </c>
      <c r="N10" s="5" t="s">
        <v>12</v>
      </c>
      <c r="O10" s="5" t="s">
        <v>40</v>
      </c>
      <c r="P10" s="6" t="s">
        <v>50</v>
      </c>
      <c r="Q10" s="5">
        <v>90</v>
      </c>
      <c r="R10" s="6">
        <v>111</v>
      </c>
      <c r="S10" s="7">
        <f t="shared" si="4"/>
        <v>7.7027027027027026</v>
      </c>
      <c r="T10" s="7">
        <f t="shared" si="5"/>
        <v>0.81081081081081086</v>
      </c>
      <c r="V10" s="2">
        <f t="shared" si="6"/>
        <v>0.54054054054054057</v>
      </c>
    </row>
    <row r="11" spans="1:23" ht="15.5" x14ac:dyDescent="0.35">
      <c r="A11" s="5">
        <v>10</v>
      </c>
      <c r="B11" s="5" t="s">
        <v>20</v>
      </c>
      <c r="C11" s="5">
        <v>9.5</v>
      </c>
      <c r="D11" s="7">
        <v>0.92</v>
      </c>
      <c r="E11" s="6">
        <f t="shared" si="7"/>
        <v>65.217391304347828</v>
      </c>
      <c r="F11" s="6">
        <v>65</v>
      </c>
      <c r="G11" s="6">
        <f t="shared" si="0"/>
        <v>617.5</v>
      </c>
      <c r="H11" s="5">
        <v>855</v>
      </c>
      <c r="I11" s="7">
        <f t="shared" si="1"/>
        <v>13.11</v>
      </c>
      <c r="J11" s="7">
        <f t="shared" si="2"/>
        <v>1.38</v>
      </c>
      <c r="K11" s="7">
        <v>2</v>
      </c>
      <c r="L11" s="7">
        <f t="shared" si="3"/>
        <v>1.3846153846153846</v>
      </c>
      <c r="M11" s="5" t="s">
        <v>0</v>
      </c>
      <c r="N11" s="5" t="s">
        <v>21</v>
      </c>
      <c r="O11" s="5" t="s">
        <v>40</v>
      </c>
      <c r="P11" s="6" t="s">
        <v>50</v>
      </c>
      <c r="Q11" s="6">
        <v>85</v>
      </c>
      <c r="R11" s="6">
        <v>90</v>
      </c>
      <c r="S11" s="7">
        <f t="shared" si="4"/>
        <v>9.5</v>
      </c>
      <c r="T11" s="7">
        <f t="shared" si="5"/>
        <v>1</v>
      </c>
      <c r="V11" s="2">
        <f t="shared" si="6"/>
        <v>0.66666666666666663</v>
      </c>
    </row>
    <row r="12" spans="1:23" ht="15.5" x14ac:dyDescent="0.35">
      <c r="A12" s="5">
        <v>11</v>
      </c>
      <c r="B12" s="5" t="s">
        <v>22</v>
      </c>
      <c r="C12" s="5">
        <v>9.5</v>
      </c>
      <c r="D12" s="7">
        <v>0.92</v>
      </c>
      <c r="E12" s="6">
        <f t="shared" si="7"/>
        <v>65.217391304347828</v>
      </c>
      <c r="F12" s="6">
        <v>65</v>
      </c>
      <c r="G12" s="6">
        <f t="shared" si="0"/>
        <v>617.5</v>
      </c>
      <c r="H12" s="5">
        <v>855</v>
      </c>
      <c r="I12" s="7">
        <f t="shared" si="1"/>
        <v>13.11</v>
      </c>
      <c r="J12" s="7">
        <f t="shared" si="2"/>
        <v>1.38</v>
      </c>
      <c r="K12" s="7">
        <v>2</v>
      </c>
      <c r="L12" s="7">
        <f t="shared" si="3"/>
        <v>1.3846153846153846</v>
      </c>
      <c r="M12" s="5" t="s">
        <v>0</v>
      </c>
      <c r="N12" s="5" t="s">
        <v>23</v>
      </c>
      <c r="O12" s="5" t="s">
        <v>41</v>
      </c>
      <c r="P12" s="6" t="s">
        <v>50</v>
      </c>
      <c r="Q12" s="6">
        <v>85</v>
      </c>
      <c r="R12" s="6">
        <v>90</v>
      </c>
      <c r="S12" s="7">
        <f t="shared" si="4"/>
        <v>9.5</v>
      </c>
      <c r="T12" s="7">
        <f t="shared" si="5"/>
        <v>1</v>
      </c>
      <c r="U12" s="43"/>
      <c r="V12" s="2">
        <f t="shared" si="6"/>
        <v>0.66666666666666663</v>
      </c>
    </row>
    <row r="13" spans="1:23" ht="15.5" x14ac:dyDescent="0.35">
      <c r="A13" s="5">
        <v>12</v>
      </c>
      <c r="B13" s="5" t="s">
        <v>24</v>
      </c>
      <c r="C13" s="5">
        <v>9.5</v>
      </c>
      <c r="D13" s="7">
        <v>2</v>
      </c>
      <c r="E13" s="6">
        <f t="shared" si="7"/>
        <v>30</v>
      </c>
      <c r="F13" s="6">
        <v>30</v>
      </c>
      <c r="G13" s="6">
        <f t="shared" si="0"/>
        <v>285</v>
      </c>
      <c r="H13" s="5">
        <v>855</v>
      </c>
      <c r="I13" s="7">
        <f t="shared" si="1"/>
        <v>28.5</v>
      </c>
      <c r="J13" s="7">
        <f t="shared" si="2"/>
        <v>3</v>
      </c>
      <c r="K13" s="7">
        <v>3</v>
      </c>
      <c r="L13" s="7">
        <f t="shared" si="3"/>
        <v>3</v>
      </c>
      <c r="M13" s="5" t="s">
        <v>0</v>
      </c>
      <c r="N13" s="5" t="s">
        <v>12</v>
      </c>
      <c r="O13" s="5" t="s">
        <v>40</v>
      </c>
      <c r="P13" s="6" t="s">
        <v>50</v>
      </c>
      <c r="Q13" s="6">
        <v>30</v>
      </c>
      <c r="R13" s="6">
        <v>33</v>
      </c>
      <c r="S13" s="7">
        <f t="shared" si="4"/>
        <v>25.90909090909091</v>
      </c>
      <c r="T13" s="7">
        <f t="shared" si="5"/>
        <v>2.7272727272727275</v>
      </c>
      <c r="V13" s="2">
        <f t="shared" si="6"/>
        <v>1.8181818181818181</v>
      </c>
    </row>
    <row r="14" spans="1:23" ht="15.5" x14ac:dyDescent="0.35">
      <c r="A14" s="5">
        <v>13</v>
      </c>
      <c r="B14" s="5" t="s">
        <v>25</v>
      </c>
      <c r="C14" s="5">
        <v>9.5</v>
      </c>
      <c r="D14" s="7">
        <v>0.46</v>
      </c>
      <c r="E14" s="6">
        <f t="shared" si="7"/>
        <v>130.43478260869566</v>
      </c>
      <c r="F14" s="6">
        <v>100</v>
      </c>
      <c r="G14" s="6">
        <f t="shared" si="0"/>
        <v>950</v>
      </c>
      <c r="H14" s="5">
        <v>855</v>
      </c>
      <c r="I14" s="7">
        <f t="shared" si="1"/>
        <v>6.5549999999999997</v>
      </c>
      <c r="J14" s="7">
        <f t="shared" si="2"/>
        <v>0.69</v>
      </c>
      <c r="K14" s="7">
        <v>1</v>
      </c>
      <c r="L14" s="7">
        <f t="shared" si="3"/>
        <v>0.9</v>
      </c>
      <c r="M14" s="5" t="s">
        <v>0</v>
      </c>
      <c r="N14" s="5" t="s">
        <v>12</v>
      </c>
      <c r="O14" s="5" t="s">
        <v>40</v>
      </c>
      <c r="P14" s="6" t="s">
        <v>50</v>
      </c>
      <c r="Q14" s="4" t="s">
        <v>57</v>
      </c>
      <c r="R14" s="6">
        <v>130</v>
      </c>
      <c r="S14" s="7">
        <f t="shared" si="4"/>
        <v>6.5769230769230766</v>
      </c>
      <c r="T14" s="7">
        <f t="shared" si="5"/>
        <v>0.69230769230769229</v>
      </c>
      <c r="V14" s="2">
        <f t="shared" si="6"/>
        <v>0.46153846153846156</v>
      </c>
    </row>
    <row r="15" spans="1:23" ht="15.5" x14ac:dyDescent="0.35">
      <c r="A15" s="5">
        <v>14</v>
      </c>
      <c r="B15" s="5" t="s">
        <v>26</v>
      </c>
      <c r="C15" s="5">
        <v>9.5</v>
      </c>
      <c r="D15" s="7">
        <v>0.92</v>
      </c>
      <c r="E15" s="6">
        <f t="shared" si="7"/>
        <v>65.217391304347828</v>
      </c>
      <c r="F15" s="6">
        <v>65</v>
      </c>
      <c r="G15" s="6">
        <f t="shared" si="0"/>
        <v>617.5</v>
      </c>
      <c r="H15" s="5">
        <v>855</v>
      </c>
      <c r="I15" s="7">
        <f t="shared" si="1"/>
        <v>13.11</v>
      </c>
      <c r="J15" s="7">
        <f t="shared" si="2"/>
        <v>1.38</v>
      </c>
      <c r="K15" s="7">
        <v>2</v>
      </c>
      <c r="L15" s="7">
        <f t="shared" si="3"/>
        <v>1.3846153846153846</v>
      </c>
      <c r="M15" s="5" t="s">
        <v>0</v>
      </c>
      <c r="N15" s="5" t="s">
        <v>27</v>
      </c>
      <c r="O15" s="5" t="s">
        <v>41</v>
      </c>
      <c r="P15" s="6" t="s">
        <v>50</v>
      </c>
      <c r="Q15" s="6">
        <v>85</v>
      </c>
      <c r="R15" s="6">
        <v>90</v>
      </c>
      <c r="S15" s="7">
        <f t="shared" si="4"/>
        <v>9.5</v>
      </c>
      <c r="T15" s="7">
        <f t="shared" si="5"/>
        <v>1</v>
      </c>
      <c r="V15" s="2">
        <f t="shared" si="6"/>
        <v>0.66666666666666663</v>
      </c>
    </row>
    <row r="16" spans="1:23" ht="15.5" x14ac:dyDescent="0.35">
      <c r="A16" s="5">
        <v>15</v>
      </c>
      <c r="B16" s="5" t="s">
        <v>28</v>
      </c>
      <c r="C16" s="5">
        <v>9.5</v>
      </c>
      <c r="D16" s="7">
        <v>0.75</v>
      </c>
      <c r="E16" s="6">
        <f t="shared" si="7"/>
        <v>80</v>
      </c>
      <c r="F16" s="6">
        <v>80</v>
      </c>
      <c r="G16" s="6">
        <f t="shared" si="0"/>
        <v>760</v>
      </c>
      <c r="H16" s="5">
        <v>855</v>
      </c>
      <c r="I16" s="7">
        <f t="shared" si="1"/>
        <v>10.6875</v>
      </c>
      <c r="J16" s="7">
        <f t="shared" si="2"/>
        <v>1.125</v>
      </c>
      <c r="K16" s="7">
        <v>2</v>
      </c>
      <c r="L16" s="7">
        <f t="shared" si="3"/>
        <v>1.125</v>
      </c>
      <c r="M16" s="5" t="s">
        <v>0</v>
      </c>
      <c r="N16" s="5" t="s">
        <v>14</v>
      </c>
      <c r="O16" s="5" t="s">
        <v>41</v>
      </c>
      <c r="P16" s="6" t="s">
        <v>50</v>
      </c>
      <c r="Q16" s="6">
        <v>90</v>
      </c>
      <c r="R16" s="6">
        <v>90</v>
      </c>
      <c r="S16" s="7">
        <f t="shared" si="4"/>
        <v>9.5</v>
      </c>
      <c r="T16" s="7">
        <f t="shared" si="5"/>
        <v>1</v>
      </c>
      <c r="U16" s="43"/>
      <c r="V16" s="2">
        <f t="shared" si="6"/>
        <v>0.66666666666666663</v>
      </c>
    </row>
    <row r="17" spans="1:22" ht="15.5" x14ac:dyDescent="0.35">
      <c r="A17" s="5">
        <v>16</v>
      </c>
      <c r="B17" s="5" t="s">
        <v>29</v>
      </c>
      <c r="C17" s="5">
        <v>9.5</v>
      </c>
      <c r="D17" s="7">
        <v>0.54</v>
      </c>
      <c r="E17" s="6">
        <f t="shared" si="7"/>
        <v>111.1111111111111</v>
      </c>
      <c r="F17" s="6">
        <v>100</v>
      </c>
      <c r="G17" s="6">
        <f t="shared" si="0"/>
        <v>950</v>
      </c>
      <c r="H17" s="5">
        <v>855</v>
      </c>
      <c r="I17" s="7">
        <f t="shared" si="1"/>
        <v>7.6950000000000012</v>
      </c>
      <c r="J17" s="7">
        <f t="shared" si="2"/>
        <v>0.81000000000000016</v>
      </c>
      <c r="K17" s="7">
        <v>1</v>
      </c>
      <c r="L17" s="7">
        <f t="shared" si="3"/>
        <v>0.9</v>
      </c>
      <c r="M17" s="5" t="s">
        <v>0</v>
      </c>
      <c r="N17" s="5" t="s">
        <v>16</v>
      </c>
      <c r="O17" s="6" t="s">
        <v>39</v>
      </c>
      <c r="P17" s="6" t="s">
        <v>50</v>
      </c>
      <c r="Q17" s="4" t="s">
        <v>54</v>
      </c>
      <c r="R17" s="6">
        <v>111</v>
      </c>
      <c r="S17" s="7">
        <f t="shared" si="4"/>
        <v>7.7027027027027026</v>
      </c>
      <c r="T17" s="7">
        <f t="shared" si="5"/>
        <v>0.81081081081081086</v>
      </c>
      <c r="V17" s="2">
        <f t="shared" si="6"/>
        <v>0.54054054054054057</v>
      </c>
    </row>
    <row r="18" spans="1:22" ht="15.5" x14ac:dyDescent="0.35">
      <c r="A18" s="5">
        <v>17</v>
      </c>
      <c r="B18" s="5" t="s">
        <v>30</v>
      </c>
      <c r="C18" s="5">
        <v>9.5</v>
      </c>
      <c r="D18" s="7">
        <v>0.63</v>
      </c>
      <c r="E18" s="6">
        <f t="shared" si="7"/>
        <v>95.238095238095241</v>
      </c>
      <c r="F18" s="6">
        <v>100</v>
      </c>
      <c r="G18" s="6">
        <f t="shared" si="0"/>
        <v>950</v>
      </c>
      <c r="H18" s="5">
        <v>855</v>
      </c>
      <c r="I18" s="7">
        <f t="shared" si="1"/>
        <v>8.9774999999999991</v>
      </c>
      <c r="J18" s="7">
        <f t="shared" si="2"/>
        <v>0.94499999999999995</v>
      </c>
      <c r="K18" s="7">
        <v>1</v>
      </c>
      <c r="L18" s="7">
        <f t="shared" si="3"/>
        <v>0.9</v>
      </c>
      <c r="M18" s="5" t="s">
        <v>0</v>
      </c>
      <c r="N18" s="5" t="s">
        <v>31</v>
      </c>
      <c r="O18" s="5" t="s">
        <v>40</v>
      </c>
      <c r="P18" s="6" t="s">
        <v>50</v>
      </c>
      <c r="Q18" s="6">
        <v>100</v>
      </c>
      <c r="R18" s="6">
        <v>100</v>
      </c>
      <c r="S18" s="7">
        <f t="shared" si="4"/>
        <v>8.5500000000000007</v>
      </c>
      <c r="T18" s="7">
        <f t="shared" si="5"/>
        <v>0.9</v>
      </c>
      <c r="V18" s="2">
        <f t="shared" si="6"/>
        <v>0.6</v>
      </c>
    </row>
    <row r="19" spans="1:22" ht="15.5" x14ac:dyDescent="0.35">
      <c r="A19" s="5">
        <v>18</v>
      </c>
      <c r="B19" s="5" t="s">
        <v>32</v>
      </c>
      <c r="C19" s="5">
        <v>9.5</v>
      </c>
      <c r="D19" s="7">
        <v>1</v>
      </c>
      <c r="E19" s="6">
        <f t="shared" si="7"/>
        <v>60</v>
      </c>
      <c r="F19" s="6">
        <v>60</v>
      </c>
      <c r="G19" s="6">
        <f t="shared" si="0"/>
        <v>570</v>
      </c>
      <c r="H19" s="5">
        <v>855</v>
      </c>
      <c r="I19" s="7">
        <f t="shared" si="1"/>
        <v>14.25</v>
      </c>
      <c r="J19" s="7">
        <f t="shared" si="2"/>
        <v>1.5</v>
      </c>
      <c r="K19" s="7">
        <v>2</v>
      </c>
      <c r="L19" s="7">
        <f t="shared" si="3"/>
        <v>1.5</v>
      </c>
      <c r="M19" s="5" t="s">
        <v>0</v>
      </c>
      <c r="N19" s="5" t="s">
        <v>12</v>
      </c>
      <c r="O19" s="5" t="s">
        <v>40</v>
      </c>
      <c r="P19" s="6" t="s">
        <v>50</v>
      </c>
      <c r="Q19" s="6">
        <v>48</v>
      </c>
      <c r="R19" s="6">
        <v>60</v>
      </c>
      <c r="S19" s="7">
        <f t="shared" si="4"/>
        <v>14.25</v>
      </c>
      <c r="T19" s="7">
        <f t="shared" si="5"/>
        <v>1.5</v>
      </c>
      <c r="V19" s="2">
        <f t="shared" si="6"/>
        <v>1</v>
      </c>
    </row>
    <row r="20" spans="1:22" ht="15.5" x14ac:dyDescent="0.35">
      <c r="A20" s="5">
        <v>19</v>
      </c>
      <c r="B20" s="5" t="s">
        <v>33</v>
      </c>
      <c r="C20" s="5">
        <v>9.5</v>
      </c>
      <c r="D20" s="7">
        <v>0.46</v>
      </c>
      <c r="E20" s="6">
        <f t="shared" si="7"/>
        <v>130.43478260869566</v>
      </c>
      <c r="F20" s="6">
        <v>115</v>
      </c>
      <c r="G20" s="6">
        <f t="shared" si="0"/>
        <v>1092.5</v>
      </c>
      <c r="H20" s="5">
        <v>855</v>
      </c>
      <c r="I20" s="7">
        <f t="shared" si="1"/>
        <v>6.5549999999999997</v>
      </c>
      <c r="J20" s="7">
        <f t="shared" si="2"/>
        <v>0.69</v>
      </c>
      <c r="K20" s="7">
        <v>1</v>
      </c>
      <c r="L20" s="7">
        <f t="shared" si="3"/>
        <v>0.78260869565217395</v>
      </c>
      <c r="M20" s="5" t="s">
        <v>0</v>
      </c>
      <c r="N20" s="5" t="s">
        <v>31</v>
      </c>
      <c r="O20" s="5" t="s">
        <v>40</v>
      </c>
      <c r="P20" s="6" t="s">
        <v>50</v>
      </c>
      <c r="Q20" s="6">
        <v>180</v>
      </c>
      <c r="R20" s="6">
        <v>130</v>
      </c>
      <c r="S20" s="7">
        <f t="shared" si="4"/>
        <v>6.5769230769230766</v>
      </c>
      <c r="T20" s="7">
        <f t="shared" si="5"/>
        <v>0.69230769230769229</v>
      </c>
      <c r="V20" s="2">
        <f t="shared" si="6"/>
        <v>0.46153846153846156</v>
      </c>
    </row>
    <row r="21" spans="1:22" ht="15.5" x14ac:dyDescent="0.35">
      <c r="A21" s="5">
        <v>20</v>
      </c>
      <c r="B21" s="5" t="s">
        <v>34</v>
      </c>
      <c r="C21" s="5">
        <v>9.5</v>
      </c>
      <c r="D21" s="7">
        <v>0.54</v>
      </c>
      <c r="E21" s="6">
        <f t="shared" si="7"/>
        <v>111.1111111111111</v>
      </c>
      <c r="F21" s="6">
        <v>110</v>
      </c>
      <c r="G21" s="6">
        <f t="shared" si="0"/>
        <v>1045</v>
      </c>
      <c r="H21" s="5">
        <v>855</v>
      </c>
      <c r="I21" s="7">
        <f t="shared" si="1"/>
        <v>7.6950000000000012</v>
      </c>
      <c r="J21" s="7">
        <f t="shared" si="2"/>
        <v>0.81000000000000016</v>
      </c>
      <c r="K21" s="7">
        <v>1</v>
      </c>
      <c r="L21" s="7">
        <f t="shared" si="3"/>
        <v>0.81818181818181812</v>
      </c>
      <c r="M21" s="5" t="s">
        <v>0</v>
      </c>
      <c r="N21" s="5" t="s">
        <v>35</v>
      </c>
      <c r="O21" s="5" t="s">
        <v>40</v>
      </c>
      <c r="P21" s="6" t="s">
        <v>50</v>
      </c>
      <c r="Q21" s="6">
        <v>90</v>
      </c>
      <c r="R21" s="6">
        <v>90</v>
      </c>
      <c r="S21" s="7">
        <f t="shared" si="4"/>
        <v>9.5</v>
      </c>
      <c r="T21" s="7">
        <f t="shared" si="5"/>
        <v>1</v>
      </c>
      <c r="V21" s="2">
        <f t="shared" si="6"/>
        <v>0.66666666666666663</v>
      </c>
    </row>
    <row r="22" spans="1:22" ht="15.5" x14ac:dyDescent="0.35">
      <c r="A22" s="5">
        <v>21</v>
      </c>
      <c r="B22" s="35" t="s">
        <v>36</v>
      </c>
      <c r="C22" s="12">
        <v>9.5</v>
      </c>
      <c r="D22" s="12">
        <v>0.54</v>
      </c>
      <c r="E22" s="32">
        <f t="shared" si="7"/>
        <v>111.1111111111111</v>
      </c>
      <c r="F22" s="32">
        <v>110</v>
      </c>
      <c r="G22" s="32">
        <f t="shared" si="0"/>
        <v>1045</v>
      </c>
      <c r="H22" s="12">
        <v>855</v>
      </c>
      <c r="I22" s="31">
        <f t="shared" si="1"/>
        <v>7.6950000000000012</v>
      </c>
      <c r="J22" s="31">
        <f t="shared" si="2"/>
        <v>0.81000000000000016</v>
      </c>
      <c r="K22" s="31">
        <v>1</v>
      </c>
      <c r="L22" s="31">
        <f t="shared" si="3"/>
        <v>0.81818181818181812</v>
      </c>
      <c r="M22" s="12" t="s">
        <v>0</v>
      </c>
      <c r="N22" s="12" t="s">
        <v>8</v>
      </c>
      <c r="O22" s="32" t="s">
        <v>39</v>
      </c>
      <c r="P22" s="32" t="s">
        <v>50</v>
      </c>
      <c r="Q22" s="33" t="s">
        <v>60</v>
      </c>
      <c r="R22" s="34" t="s">
        <v>59</v>
      </c>
      <c r="S22" s="7" t="str">
        <f t="shared" si="4"/>
        <v xml:space="preserve"> </v>
      </c>
      <c r="T22" s="7" t="str">
        <f t="shared" si="5"/>
        <v xml:space="preserve"> </v>
      </c>
    </row>
    <row r="23" spans="1:22" x14ac:dyDescent="0.35">
      <c r="J23" s="2">
        <f>SUM(J2:J22)</f>
        <v>24.539999999999996</v>
      </c>
      <c r="L23" s="2">
        <f>SUM(L2:L22)</f>
        <v>25.340108369467035</v>
      </c>
      <c r="T23" s="2">
        <f>SUM(T2:T22)</f>
        <v>20.825054830620271</v>
      </c>
    </row>
    <row r="30" spans="1:22" x14ac:dyDescent="0.35">
      <c r="P30" s="2"/>
    </row>
  </sheetData>
  <pageMargins left="0.23622047244094491" right="0.12" top="0.74803149606299213" bottom="0.74803149606299213" header="0.31496062992125984" footer="0.31496062992125984"/>
  <pageSetup scale="47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02EB1-624E-42FA-95D8-1E54B2C4B731}">
  <sheetPr>
    <tabColor theme="9" tint="0.79998168889431442"/>
  </sheetPr>
  <dimension ref="A1:U12"/>
  <sheetViews>
    <sheetView zoomScale="90" zoomScaleNormal="90" workbookViewId="0">
      <pane xSplit="7" ySplit="1" topLeftCell="N2" activePane="bottomRight" state="frozen"/>
      <selection pane="topRight" activeCell="H1" sqref="H1"/>
      <selection pane="bottomLeft" activeCell="A2" sqref="A2"/>
      <selection pane="bottomRight" activeCell="U2" sqref="U2:U10"/>
    </sheetView>
  </sheetViews>
  <sheetFormatPr baseColWidth="10" defaultColWidth="11.453125" defaultRowHeight="14.5" x14ac:dyDescent="0.35"/>
  <cols>
    <col min="1" max="1" width="3.7265625" style="1" customWidth="1"/>
    <col min="2" max="2" width="29.54296875" style="1" bestFit="1" customWidth="1"/>
    <col min="3" max="3" width="8.90625" style="1" bestFit="1" customWidth="1"/>
    <col min="4" max="4" width="7.1796875" style="1" bestFit="1" customWidth="1"/>
    <col min="5" max="5" width="6.26953125" style="1" bestFit="1" customWidth="1"/>
    <col min="6" max="6" width="7.54296875" style="1" bestFit="1" customWidth="1"/>
    <col min="7" max="7" width="14" style="1" bestFit="1" customWidth="1"/>
    <col min="8" max="8" width="12.90625" style="1" bestFit="1" customWidth="1"/>
    <col min="9" max="9" width="11.453125" style="1"/>
    <col min="10" max="10" width="14.7265625" style="1" bestFit="1" customWidth="1"/>
    <col min="11" max="11" width="10.90625" style="1" bestFit="1" customWidth="1"/>
    <col min="12" max="12" width="14.7265625" style="1" bestFit="1" customWidth="1"/>
    <col min="13" max="13" width="14.26953125" style="1" customWidth="1"/>
    <col min="14" max="14" width="22.81640625" style="1" bestFit="1" customWidth="1"/>
    <col min="15" max="15" width="13.54296875" style="1" customWidth="1"/>
    <col min="16" max="16" width="14.453125" style="1" customWidth="1"/>
    <col min="17" max="17" width="18" style="1" customWidth="1"/>
    <col min="18" max="18" width="23.36328125" style="1" bestFit="1" customWidth="1"/>
    <col min="19" max="19" width="11.453125" style="1"/>
    <col min="20" max="20" width="14.7265625" style="1" bestFit="1" customWidth="1"/>
    <col min="21" max="16384" width="11.453125" style="1"/>
  </cols>
  <sheetData>
    <row r="1" spans="1:21" ht="15.5" x14ac:dyDescent="0.35">
      <c r="A1" s="5" t="s">
        <v>42</v>
      </c>
      <c r="B1" s="3" t="s">
        <v>1</v>
      </c>
      <c r="C1" s="3" t="s">
        <v>43</v>
      </c>
      <c r="D1" s="3" t="s">
        <v>2</v>
      </c>
      <c r="E1" s="3" t="s">
        <v>3</v>
      </c>
      <c r="F1" s="3" t="s">
        <v>53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</v>
      </c>
      <c r="L1" s="3" t="s">
        <v>61</v>
      </c>
      <c r="M1" s="3" t="s">
        <v>37</v>
      </c>
      <c r="N1" s="3" t="s">
        <v>38</v>
      </c>
      <c r="O1" s="3" t="s">
        <v>48</v>
      </c>
      <c r="P1" s="3" t="s">
        <v>49</v>
      </c>
      <c r="Q1" s="3" t="s">
        <v>51</v>
      </c>
      <c r="R1" s="3" t="s">
        <v>174</v>
      </c>
      <c r="S1" s="3" t="s">
        <v>46</v>
      </c>
      <c r="T1" s="3" t="s">
        <v>47</v>
      </c>
      <c r="U1" s="1" t="s">
        <v>230</v>
      </c>
    </row>
    <row r="2" spans="1:21" ht="15.5" x14ac:dyDescent="0.35">
      <c r="A2" s="5">
        <v>1</v>
      </c>
      <c r="B2" s="3" t="s">
        <v>62</v>
      </c>
      <c r="C2" s="5">
        <v>9.5</v>
      </c>
      <c r="D2" s="7">
        <v>0.67</v>
      </c>
      <c r="E2" s="6">
        <f>60/D2</f>
        <v>89.552238805970148</v>
      </c>
      <c r="F2" s="6">
        <v>90</v>
      </c>
      <c r="G2" s="6">
        <f>F2*C2</f>
        <v>855</v>
      </c>
      <c r="H2" s="6">
        <v>855</v>
      </c>
      <c r="I2" s="7">
        <f>+H2/E2</f>
        <v>9.5474999999999994</v>
      </c>
      <c r="J2" s="7">
        <f>I2/C2</f>
        <v>1.0049999999999999</v>
      </c>
      <c r="K2" s="6">
        <v>1</v>
      </c>
      <c r="L2" s="7">
        <f>IFERROR(((H2/F2)/$C$2)," ")</f>
        <v>1</v>
      </c>
      <c r="M2" s="8" t="s">
        <v>72</v>
      </c>
      <c r="N2" s="5" t="s">
        <v>23</v>
      </c>
      <c r="O2" s="5" t="s">
        <v>40</v>
      </c>
      <c r="P2" s="9" t="s">
        <v>50</v>
      </c>
      <c r="Q2" s="6">
        <v>115</v>
      </c>
      <c r="R2" s="3">
        <v>100</v>
      </c>
      <c r="S2" s="7">
        <f>IFERROR((H2/R2)," ")</f>
        <v>8.5500000000000007</v>
      </c>
      <c r="T2" s="7">
        <f>IFERROR((S2/$C$2)," ")</f>
        <v>0.9</v>
      </c>
      <c r="U2" s="2">
        <f>60/R2</f>
        <v>0.6</v>
      </c>
    </row>
    <row r="3" spans="1:21" ht="15.5" x14ac:dyDescent="0.35">
      <c r="A3" s="5">
        <v>2</v>
      </c>
      <c r="B3" s="3" t="s">
        <v>63</v>
      </c>
      <c r="C3" s="5">
        <v>9.5</v>
      </c>
      <c r="D3" s="7">
        <v>0.4</v>
      </c>
      <c r="E3" s="6">
        <v>150</v>
      </c>
      <c r="F3" s="5">
        <v>150</v>
      </c>
      <c r="G3" s="6">
        <f t="shared" ref="G3:G11" si="0">F3*C3</f>
        <v>1425</v>
      </c>
      <c r="H3" s="6">
        <v>855</v>
      </c>
      <c r="I3" s="7">
        <f t="shared" ref="I3:I11" si="1">+H3/E3</f>
        <v>5.7</v>
      </c>
      <c r="J3" s="7">
        <f t="shared" ref="J3:J11" si="2">I3/C3</f>
        <v>0.6</v>
      </c>
      <c r="K3" s="6">
        <v>1</v>
      </c>
      <c r="L3" s="7">
        <f t="shared" ref="L3:L11" si="3">IFERROR(((H3/F3)/$C$2)," ")</f>
        <v>0.6</v>
      </c>
      <c r="M3" s="14" t="s">
        <v>72</v>
      </c>
      <c r="N3" s="3" t="s">
        <v>64</v>
      </c>
      <c r="O3" s="5" t="s">
        <v>40</v>
      </c>
      <c r="P3" s="9" t="s">
        <v>50</v>
      </c>
      <c r="Q3" s="6" t="s">
        <v>180</v>
      </c>
      <c r="R3" s="3">
        <v>150</v>
      </c>
      <c r="S3" s="7">
        <f t="shared" ref="S3:S11" si="4">IFERROR((H3/R3)," ")</f>
        <v>5.7</v>
      </c>
      <c r="T3" s="7">
        <f t="shared" ref="T3:T11" si="5">IFERROR((S3/$C$2)," ")</f>
        <v>0.6</v>
      </c>
      <c r="U3" s="2">
        <f t="shared" ref="U3:U10" si="6">60/R3</f>
        <v>0.4</v>
      </c>
    </row>
    <row r="4" spans="1:21" ht="15.5" x14ac:dyDescent="0.35">
      <c r="A4" s="5">
        <v>3</v>
      </c>
      <c r="B4" s="3" t="s">
        <v>75</v>
      </c>
      <c r="C4" s="5">
        <v>9.5</v>
      </c>
      <c r="D4" s="7">
        <v>0.6</v>
      </c>
      <c r="E4" s="6">
        <v>100</v>
      </c>
      <c r="F4" s="5">
        <v>90</v>
      </c>
      <c r="G4" s="6">
        <f t="shared" si="0"/>
        <v>855</v>
      </c>
      <c r="H4" s="6">
        <v>855</v>
      </c>
      <c r="I4" s="7">
        <f t="shared" si="1"/>
        <v>8.5500000000000007</v>
      </c>
      <c r="J4" s="7">
        <f t="shared" si="2"/>
        <v>0.9</v>
      </c>
      <c r="K4" s="6">
        <v>1</v>
      </c>
      <c r="L4" s="7">
        <f t="shared" si="3"/>
        <v>1</v>
      </c>
      <c r="M4" s="8" t="s">
        <v>72</v>
      </c>
      <c r="N4" s="3" t="s">
        <v>65</v>
      </c>
      <c r="O4" s="5" t="s">
        <v>40</v>
      </c>
      <c r="P4" s="9" t="s">
        <v>50</v>
      </c>
      <c r="Q4" s="6">
        <v>90</v>
      </c>
      <c r="R4" s="3">
        <v>100</v>
      </c>
      <c r="S4" s="7">
        <f t="shared" si="4"/>
        <v>8.5500000000000007</v>
      </c>
      <c r="T4" s="7">
        <f t="shared" si="5"/>
        <v>0.9</v>
      </c>
      <c r="U4" s="2">
        <f t="shared" si="6"/>
        <v>0.6</v>
      </c>
    </row>
    <row r="5" spans="1:21" ht="15.5" x14ac:dyDescent="0.35">
      <c r="A5" s="5">
        <v>4</v>
      </c>
      <c r="B5" s="3" t="s">
        <v>66</v>
      </c>
      <c r="C5" s="5">
        <v>9.5</v>
      </c>
      <c r="D5" s="7">
        <v>1</v>
      </c>
      <c r="E5" s="6">
        <v>54.1</v>
      </c>
      <c r="F5" s="5">
        <v>55</v>
      </c>
      <c r="G5" s="6">
        <f t="shared" si="0"/>
        <v>522.5</v>
      </c>
      <c r="H5" s="6">
        <v>855</v>
      </c>
      <c r="I5" s="7">
        <f t="shared" si="1"/>
        <v>15.804066543438077</v>
      </c>
      <c r="J5" s="7">
        <f t="shared" si="2"/>
        <v>1.6635859519408502</v>
      </c>
      <c r="K5" s="6">
        <v>2</v>
      </c>
      <c r="L5" s="7">
        <f t="shared" si="3"/>
        <v>1.6363636363636362</v>
      </c>
      <c r="M5" s="8" t="s">
        <v>72</v>
      </c>
      <c r="N5" s="3" t="s">
        <v>14</v>
      </c>
      <c r="O5" s="5" t="s">
        <v>41</v>
      </c>
      <c r="P5" s="9" t="s">
        <v>50</v>
      </c>
      <c r="Q5" s="6">
        <v>85</v>
      </c>
      <c r="R5" s="3">
        <v>80</v>
      </c>
      <c r="S5" s="7">
        <f t="shared" si="4"/>
        <v>10.6875</v>
      </c>
      <c r="T5" s="7">
        <f t="shared" si="5"/>
        <v>1.125</v>
      </c>
      <c r="U5" s="2">
        <f t="shared" si="6"/>
        <v>0.75</v>
      </c>
    </row>
    <row r="6" spans="1:21" ht="15.5" x14ac:dyDescent="0.35">
      <c r="A6" s="15">
        <v>5</v>
      </c>
      <c r="B6" s="3" t="s">
        <v>67</v>
      </c>
      <c r="C6" s="5">
        <v>9.5</v>
      </c>
      <c r="D6" s="7">
        <v>1</v>
      </c>
      <c r="E6" s="6">
        <v>60</v>
      </c>
      <c r="F6" s="5">
        <v>60</v>
      </c>
      <c r="G6" s="6">
        <f t="shared" si="0"/>
        <v>570</v>
      </c>
      <c r="H6" s="6">
        <v>855</v>
      </c>
      <c r="I6" s="7">
        <f t="shared" si="1"/>
        <v>14.25</v>
      </c>
      <c r="J6" s="7">
        <f t="shared" si="2"/>
        <v>1.5</v>
      </c>
      <c r="K6" s="6">
        <v>2</v>
      </c>
      <c r="L6" s="7">
        <f t="shared" si="3"/>
        <v>1.5</v>
      </c>
      <c r="M6" s="8" t="s">
        <v>72</v>
      </c>
      <c r="N6" s="5" t="s">
        <v>64</v>
      </c>
      <c r="O6" s="5" t="s">
        <v>40</v>
      </c>
      <c r="P6" s="9" t="s">
        <v>50</v>
      </c>
      <c r="Q6" s="6" t="s">
        <v>180</v>
      </c>
      <c r="R6" s="3">
        <v>60</v>
      </c>
      <c r="S6" s="7">
        <f t="shared" si="4"/>
        <v>14.25</v>
      </c>
      <c r="T6" s="7">
        <f t="shared" si="5"/>
        <v>1.5</v>
      </c>
      <c r="U6" s="2">
        <f t="shared" si="6"/>
        <v>1</v>
      </c>
    </row>
    <row r="7" spans="1:21" ht="15.5" x14ac:dyDescent="0.35">
      <c r="A7" s="5">
        <v>6</v>
      </c>
      <c r="B7" s="3" t="s">
        <v>68</v>
      </c>
      <c r="C7" s="5">
        <v>9.5</v>
      </c>
      <c r="D7" s="7">
        <v>2</v>
      </c>
      <c r="E7" s="6">
        <v>30</v>
      </c>
      <c r="F7" s="5">
        <v>30</v>
      </c>
      <c r="G7" s="6">
        <f t="shared" si="0"/>
        <v>285</v>
      </c>
      <c r="H7" s="6">
        <v>855</v>
      </c>
      <c r="I7" s="7">
        <f t="shared" si="1"/>
        <v>28.5</v>
      </c>
      <c r="J7" s="7">
        <f t="shared" si="2"/>
        <v>3</v>
      </c>
      <c r="K7" s="6">
        <v>3</v>
      </c>
      <c r="L7" s="7">
        <f t="shared" si="3"/>
        <v>3</v>
      </c>
      <c r="M7" s="8" t="s">
        <v>72</v>
      </c>
      <c r="N7" s="5" t="s">
        <v>16</v>
      </c>
      <c r="O7" s="5" t="s">
        <v>39</v>
      </c>
      <c r="P7" s="9" t="s">
        <v>50</v>
      </c>
      <c r="Q7" s="6" t="s">
        <v>180</v>
      </c>
      <c r="R7" s="3">
        <v>30</v>
      </c>
      <c r="S7" s="7">
        <f t="shared" si="4"/>
        <v>28.5</v>
      </c>
      <c r="T7" s="7">
        <f t="shared" si="5"/>
        <v>3</v>
      </c>
      <c r="U7" s="2">
        <f t="shared" si="6"/>
        <v>2</v>
      </c>
    </row>
    <row r="8" spans="1:21" ht="15.5" x14ac:dyDescent="0.35">
      <c r="A8" s="5">
        <v>7</v>
      </c>
      <c r="B8" s="3" t="s">
        <v>69</v>
      </c>
      <c r="C8" s="5">
        <v>9.5</v>
      </c>
      <c r="D8" s="7">
        <v>0.85</v>
      </c>
      <c r="E8" s="6">
        <v>70</v>
      </c>
      <c r="F8" s="5">
        <v>70</v>
      </c>
      <c r="G8" s="6">
        <f t="shared" si="0"/>
        <v>665</v>
      </c>
      <c r="H8" s="6">
        <v>855</v>
      </c>
      <c r="I8" s="7">
        <f t="shared" si="1"/>
        <v>12.214285714285714</v>
      </c>
      <c r="J8" s="7">
        <f t="shared" si="2"/>
        <v>1.2857142857142856</v>
      </c>
      <c r="K8" s="6">
        <v>2</v>
      </c>
      <c r="L8" s="7">
        <f t="shared" si="3"/>
        <v>1.2857142857142856</v>
      </c>
      <c r="M8" s="8" t="s">
        <v>72</v>
      </c>
      <c r="N8" s="5" t="s">
        <v>16</v>
      </c>
      <c r="O8" s="5" t="s">
        <v>39</v>
      </c>
      <c r="P8" s="9" t="s">
        <v>50</v>
      </c>
      <c r="Q8" s="6" t="s">
        <v>180</v>
      </c>
      <c r="R8" s="3">
        <v>30</v>
      </c>
      <c r="S8" s="7">
        <f t="shared" si="4"/>
        <v>28.5</v>
      </c>
      <c r="T8" s="7">
        <f t="shared" si="5"/>
        <v>3</v>
      </c>
      <c r="U8" s="2">
        <f t="shared" si="6"/>
        <v>2</v>
      </c>
    </row>
    <row r="9" spans="1:21" ht="15.5" x14ac:dyDescent="0.35">
      <c r="A9" s="5">
        <v>8</v>
      </c>
      <c r="B9" s="3" t="s">
        <v>70</v>
      </c>
      <c r="C9" s="5">
        <v>9.5</v>
      </c>
      <c r="D9" s="7">
        <v>0.85</v>
      </c>
      <c r="E9" s="6">
        <f>60/D9</f>
        <v>70.588235294117652</v>
      </c>
      <c r="F9" s="5">
        <v>70</v>
      </c>
      <c r="G9" s="6">
        <f t="shared" si="0"/>
        <v>665</v>
      </c>
      <c r="H9" s="6">
        <v>855</v>
      </c>
      <c r="I9" s="7">
        <f t="shared" si="1"/>
        <v>12.112499999999999</v>
      </c>
      <c r="J9" s="7">
        <f t="shared" si="2"/>
        <v>1.2749999999999999</v>
      </c>
      <c r="K9" s="6">
        <v>2</v>
      </c>
      <c r="L9" s="7">
        <f t="shared" si="3"/>
        <v>1.2857142857142856</v>
      </c>
      <c r="M9" s="8" t="s">
        <v>72</v>
      </c>
      <c r="N9" s="5" t="s">
        <v>71</v>
      </c>
      <c r="O9" s="5" t="s">
        <v>39</v>
      </c>
      <c r="P9" s="9" t="s">
        <v>50</v>
      </c>
      <c r="Q9" s="6" t="s">
        <v>180</v>
      </c>
      <c r="R9" s="3">
        <v>70</v>
      </c>
      <c r="S9" s="7">
        <f t="shared" si="4"/>
        <v>12.214285714285714</v>
      </c>
      <c r="T9" s="7">
        <f t="shared" si="5"/>
        <v>1.2857142857142856</v>
      </c>
      <c r="U9" s="2">
        <f t="shared" si="6"/>
        <v>0.8571428571428571</v>
      </c>
    </row>
    <row r="10" spans="1:21" ht="15.5" x14ac:dyDescent="0.35">
      <c r="A10" s="3">
        <v>9</v>
      </c>
      <c r="B10" s="3" t="s">
        <v>74</v>
      </c>
      <c r="C10" s="5">
        <v>9.5</v>
      </c>
      <c r="D10" s="7">
        <v>1.2</v>
      </c>
      <c r="E10" s="6">
        <v>50</v>
      </c>
      <c r="F10" s="5">
        <v>50</v>
      </c>
      <c r="G10" s="6">
        <f t="shared" si="0"/>
        <v>475</v>
      </c>
      <c r="H10" s="6">
        <v>855</v>
      </c>
      <c r="I10" s="7">
        <f t="shared" si="1"/>
        <v>17.100000000000001</v>
      </c>
      <c r="J10" s="7">
        <f t="shared" si="2"/>
        <v>1.8</v>
      </c>
      <c r="K10" s="6">
        <v>2</v>
      </c>
      <c r="L10" s="7">
        <f t="shared" si="3"/>
        <v>1.8</v>
      </c>
      <c r="M10" s="8" t="s">
        <v>72</v>
      </c>
      <c r="N10" s="5" t="s">
        <v>71</v>
      </c>
      <c r="O10" s="5" t="s">
        <v>39</v>
      </c>
      <c r="P10" s="9" t="s">
        <v>50</v>
      </c>
      <c r="Q10" s="6" t="s">
        <v>180</v>
      </c>
      <c r="R10" s="3">
        <v>50</v>
      </c>
      <c r="S10" s="7">
        <f t="shared" si="4"/>
        <v>17.100000000000001</v>
      </c>
      <c r="T10" s="7">
        <f t="shared" si="5"/>
        <v>1.8</v>
      </c>
      <c r="U10" s="2">
        <f t="shared" si="6"/>
        <v>1.2</v>
      </c>
    </row>
    <row r="11" spans="1:21" ht="15.5" x14ac:dyDescent="0.35">
      <c r="A11" s="3">
        <v>10</v>
      </c>
      <c r="B11" s="35" t="s">
        <v>73</v>
      </c>
      <c r="C11" s="5">
        <v>9.5</v>
      </c>
      <c r="D11" s="7">
        <v>1.36</v>
      </c>
      <c r="E11" s="6">
        <f>60/D11</f>
        <v>44.117647058823529</v>
      </c>
      <c r="F11" s="5">
        <v>50</v>
      </c>
      <c r="G11" s="6">
        <f t="shared" si="0"/>
        <v>475</v>
      </c>
      <c r="H11" s="6">
        <v>855</v>
      </c>
      <c r="I11" s="7">
        <f t="shared" si="1"/>
        <v>19.38</v>
      </c>
      <c r="J11" s="7">
        <f t="shared" si="2"/>
        <v>2.04</v>
      </c>
      <c r="K11" s="6">
        <v>2</v>
      </c>
      <c r="L11" s="7">
        <f t="shared" si="3"/>
        <v>1.8</v>
      </c>
      <c r="M11" s="8" t="s">
        <v>72</v>
      </c>
      <c r="N11" s="5" t="s">
        <v>71</v>
      </c>
      <c r="O11" s="5" t="s">
        <v>39</v>
      </c>
      <c r="P11" s="9" t="s">
        <v>50</v>
      </c>
      <c r="Q11" s="6" t="s">
        <v>180</v>
      </c>
      <c r="R11" s="40" t="s">
        <v>59</v>
      </c>
      <c r="S11" s="7" t="str">
        <f t="shared" si="4"/>
        <v xml:space="preserve"> </v>
      </c>
      <c r="T11" s="7" t="str">
        <f t="shared" si="5"/>
        <v xml:space="preserve"> </v>
      </c>
      <c r="U11" s="2"/>
    </row>
    <row r="12" spans="1:21" x14ac:dyDescent="0.35">
      <c r="J12" s="2">
        <f>SUM(J2:J11)</f>
        <v>15.069300237655138</v>
      </c>
      <c r="L12" s="2">
        <f>SUM(L2:L11)</f>
        <v>14.907792207792209</v>
      </c>
      <c r="T12" s="2">
        <f>SUM(T2:T11)</f>
        <v>14.110714285714288</v>
      </c>
    </row>
  </sheetData>
  <pageMargins left="0.23622047244094491" right="0.23622047244094491" top="0.74803149606299213" bottom="0.74803149606299213" header="0.31496062992125984" footer="0.31496062992125984"/>
  <pageSetup scale="4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80DCE-75AD-4EAF-9173-6A8D8F211533}">
  <sheetPr>
    <tabColor theme="4" tint="0.79998168889431442"/>
  </sheetPr>
  <dimension ref="A1:U26"/>
  <sheetViews>
    <sheetView zoomScale="90" zoomScaleNormal="9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U25" sqref="U25"/>
    </sheetView>
  </sheetViews>
  <sheetFormatPr baseColWidth="10" defaultColWidth="11.453125" defaultRowHeight="14.5" x14ac:dyDescent="0.35"/>
  <cols>
    <col min="1" max="1" width="3.36328125" style="1" bestFit="1" customWidth="1"/>
    <col min="2" max="2" width="40.6328125" style="1" bestFit="1" customWidth="1"/>
    <col min="3" max="3" width="8.90625" style="1" bestFit="1" customWidth="1"/>
    <col min="4" max="4" width="7.453125" style="1" bestFit="1" customWidth="1"/>
    <col min="5" max="5" width="6.26953125" style="1" bestFit="1" customWidth="1"/>
    <col min="6" max="6" width="7.54296875" style="1" bestFit="1" customWidth="1"/>
    <col min="7" max="7" width="14" style="1" bestFit="1" customWidth="1"/>
    <col min="8" max="8" width="13" style="1" bestFit="1" customWidth="1"/>
    <col min="9" max="9" width="12" style="1" bestFit="1" customWidth="1"/>
    <col min="10" max="10" width="14.7265625" style="1" bestFit="1" customWidth="1"/>
    <col min="11" max="11" width="11" style="1" bestFit="1" customWidth="1"/>
    <col min="12" max="12" width="14.7265625" style="1" customWidth="1"/>
    <col min="13" max="13" width="8.7265625" style="1" bestFit="1" customWidth="1"/>
    <col min="14" max="14" width="29.6328125" style="1" bestFit="1" customWidth="1"/>
    <col min="15" max="15" width="13.1796875" style="1" bestFit="1" customWidth="1"/>
    <col min="16" max="16" width="14.81640625" style="1" bestFit="1" customWidth="1"/>
    <col min="17" max="17" width="13.453125" style="1" bestFit="1" customWidth="1"/>
    <col min="18" max="18" width="20" style="1" bestFit="1" customWidth="1"/>
    <col min="19" max="19" width="12" style="1" bestFit="1" customWidth="1"/>
    <col min="20" max="20" width="14.7265625" style="1" bestFit="1" customWidth="1"/>
    <col min="21" max="16384" width="11.453125" style="1"/>
  </cols>
  <sheetData>
    <row r="1" spans="1:21" ht="15.5" x14ac:dyDescent="0.35">
      <c r="A1" s="5" t="s">
        <v>42</v>
      </c>
      <c r="B1" s="3" t="s">
        <v>1</v>
      </c>
      <c r="C1" s="3" t="s">
        <v>43</v>
      </c>
      <c r="D1" s="3" t="s">
        <v>2</v>
      </c>
      <c r="E1" s="3" t="s">
        <v>3</v>
      </c>
      <c r="F1" s="3" t="s">
        <v>53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</v>
      </c>
      <c r="L1" s="3" t="s">
        <v>61</v>
      </c>
      <c r="M1" s="3" t="s">
        <v>37</v>
      </c>
      <c r="N1" s="3" t="s">
        <v>38</v>
      </c>
      <c r="O1" s="3" t="s">
        <v>48</v>
      </c>
      <c r="P1" s="3" t="s">
        <v>49</v>
      </c>
      <c r="Q1" s="3" t="s">
        <v>51</v>
      </c>
      <c r="R1" s="3" t="s">
        <v>174</v>
      </c>
      <c r="S1" s="3" t="s">
        <v>46</v>
      </c>
      <c r="T1" s="3" t="s">
        <v>47</v>
      </c>
      <c r="U1" s="1" t="s">
        <v>194</v>
      </c>
    </row>
    <row r="2" spans="1:21" ht="15.5" x14ac:dyDescent="0.35">
      <c r="A2" s="5">
        <v>1</v>
      </c>
      <c r="B2" s="5" t="s">
        <v>177</v>
      </c>
      <c r="C2" s="6">
        <v>9.5</v>
      </c>
      <c r="D2" s="7">
        <v>1.33</v>
      </c>
      <c r="E2" s="6">
        <f t="shared" ref="E2:E25" si="0">60/D2</f>
        <v>45.112781954887218</v>
      </c>
      <c r="F2" s="6">
        <v>45</v>
      </c>
      <c r="G2" s="6">
        <f>F2*C2</f>
        <v>427.5</v>
      </c>
      <c r="H2" s="6">
        <v>855</v>
      </c>
      <c r="I2" s="6">
        <f>+H2/E2</f>
        <v>18.952500000000001</v>
      </c>
      <c r="J2" s="7">
        <f>I2/C2</f>
        <v>1.9950000000000001</v>
      </c>
      <c r="K2" s="6">
        <v>2</v>
      </c>
      <c r="L2" s="7">
        <f>IFERROR(((H2/F2)/$C$2)," ")</f>
        <v>2</v>
      </c>
      <c r="M2" s="5" t="s">
        <v>99</v>
      </c>
      <c r="N2" s="5" t="s">
        <v>76</v>
      </c>
      <c r="O2" s="5" t="s">
        <v>40</v>
      </c>
      <c r="P2" s="16" t="s">
        <v>100</v>
      </c>
      <c r="Q2" s="13">
        <v>50</v>
      </c>
      <c r="R2" s="13">
        <v>50</v>
      </c>
      <c r="S2" s="7">
        <f>IFERROR((H2/R2)," ")</f>
        <v>17.100000000000001</v>
      </c>
      <c r="T2" s="7">
        <f>IFERROR((S2/$C$2)," ")</f>
        <v>1.8</v>
      </c>
      <c r="U2" s="2">
        <f>60/R2</f>
        <v>1.2</v>
      </c>
    </row>
    <row r="3" spans="1:21" ht="15.5" x14ac:dyDescent="0.35">
      <c r="A3" s="5">
        <v>2</v>
      </c>
      <c r="B3" s="5" t="s">
        <v>77</v>
      </c>
      <c r="C3" s="6">
        <v>9.5</v>
      </c>
      <c r="D3" s="7">
        <v>2.6</v>
      </c>
      <c r="E3" s="6">
        <f t="shared" si="0"/>
        <v>23.076923076923077</v>
      </c>
      <c r="F3" s="6">
        <v>23</v>
      </c>
      <c r="G3" s="6">
        <f t="shared" ref="G3:G25" si="1">F3*C3</f>
        <v>218.5</v>
      </c>
      <c r="H3" s="6">
        <v>855</v>
      </c>
      <c r="I3" s="6">
        <f t="shared" ref="I3:I25" si="2">+H3/E3</f>
        <v>37.049999999999997</v>
      </c>
      <c r="J3" s="7">
        <f t="shared" ref="J3:J25" si="3">I3/C3</f>
        <v>3.9</v>
      </c>
      <c r="K3" s="6">
        <v>4</v>
      </c>
      <c r="L3" s="7">
        <f t="shared" ref="L3:L25" si="4">IFERROR(((H3/F3)/$C$2)," ")</f>
        <v>3.9130434782608692</v>
      </c>
      <c r="M3" s="5" t="s">
        <v>99</v>
      </c>
      <c r="N3" s="5" t="s">
        <v>76</v>
      </c>
      <c r="O3" s="9" t="s">
        <v>40</v>
      </c>
      <c r="P3" s="16" t="s">
        <v>100</v>
      </c>
      <c r="Q3" s="13">
        <v>35</v>
      </c>
      <c r="R3" s="13">
        <v>30</v>
      </c>
      <c r="S3" s="7">
        <f t="shared" ref="S3:S25" si="5">IFERROR((H3/R3)," ")</f>
        <v>28.5</v>
      </c>
      <c r="T3" s="7">
        <f t="shared" ref="T3:T25" si="6">IFERROR((S3/$C$2)," ")</f>
        <v>3</v>
      </c>
      <c r="U3" s="2">
        <f t="shared" ref="U3:U24" si="7">60/R3</f>
        <v>2</v>
      </c>
    </row>
    <row r="4" spans="1:21" ht="15.5" x14ac:dyDescent="0.35">
      <c r="A4" s="5">
        <v>3</v>
      </c>
      <c r="B4" s="5" t="s">
        <v>78</v>
      </c>
      <c r="C4" s="6">
        <v>9.5</v>
      </c>
      <c r="D4" s="7">
        <v>2</v>
      </c>
      <c r="E4" s="6">
        <f t="shared" si="0"/>
        <v>30</v>
      </c>
      <c r="F4" s="6">
        <v>30</v>
      </c>
      <c r="G4" s="6">
        <f t="shared" si="1"/>
        <v>285</v>
      </c>
      <c r="H4" s="6">
        <v>855</v>
      </c>
      <c r="I4" s="6">
        <f t="shared" si="2"/>
        <v>28.5</v>
      </c>
      <c r="J4" s="7">
        <f t="shared" si="3"/>
        <v>3</v>
      </c>
      <c r="K4" s="6">
        <v>3</v>
      </c>
      <c r="L4" s="7">
        <f t="shared" si="4"/>
        <v>3</v>
      </c>
      <c r="M4" s="5" t="s">
        <v>99</v>
      </c>
      <c r="N4" s="5" t="s">
        <v>79</v>
      </c>
      <c r="O4" s="5" t="s">
        <v>40</v>
      </c>
      <c r="P4" s="16" t="s">
        <v>100</v>
      </c>
      <c r="Q4" s="13">
        <v>60</v>
      </c>
      <c r="R4" s="13">
        <v>45</v>
      </c>
      <c r="S4" s="7">
        <f t="shared" si="5"/>
        <v>19</v>
      </c>
      <c r="T4" s="7">
        <f t="shared" si="6"/>
        <v>2</v>
      </c>
      <c r="U4" s="2">
        <f t="shared" si="7"/>
        <v>1.3333333333333333</v>
      </c>
    </row>
    <row r="5" spans="1:21" ht="15.5" x14ac:dyDescent="0.35">
      <c r="A5" s="5">
        <v>4</v>
      </c>
      <c r="B5" s="5" t="s">
        <v>176</v>
      </c>
      <c r="C5" s="6">
        <v>9.5</v>
      </c>
      <c r="D5" s="7">
        <v>0.9</v>
      </c>
      <c r="E5" s="6">
        <f t="shared" si="0"/>
        <v>66.666666666666671</v>
      </c>
      <c r="F5" s="6">
        <v>50</v>
      </c>
      <c r="G5" s="6">
        <f t="shared" si="1"/>
        <v>475</v>
      </c>
      <c r="H5" s="6">
        <v>855</v>
      </c>
      <c r="I5" s="6">
        <f t="shared" si="2"/>
        <v>12.824999999999999</v>
      </c>
      <c r="J5" s="7">
        <f t="shared" si="3"/>
        <v>1.3499999999999999</v>
      </c>
      <c r="K5" s="6">
        <v>2</v>
      </c>
      <c r="L5" s="7">
        <f t="shared" si="4"/>
        <v>1.8</v>
      </c>
      <c r="M5" s="5" t="s">
        <v>99</v>
      </c>
      <c r="N5" s="5" t="s">
        <v>76</v>
      </c>
      <c r="O5" s="5" t="s">
        <v>40</v>
      </c>
      <c r="P5" s="16" t="s">
        <v>100</v>
      </c>
      <c r="Q5" s="13">
        <v>70</v>
      </c>
      <c r="R5" s="13">
        <v>70</v>
      </c>
      <c r="S5" s="7">
        <f t="shared" si="5"/>
        <v>12.214285714285714</v>
      </c>
      <c r="T5" s="7">
        <f t="shared" si="6"/>
        <v>1.2857142857142856</v>
      </c>
      <c r="U5" s="2">
        <f t="shared" si="7"/>
        <v>0.8571428571428571</v>
      </c>
    </row>
    <row r="6" spans="1:21" ht="15.5" x14ac:dyDescent="0.35">
      <c r="A6" s="5">
        <v>5</v>
      </c>
      <c r="B6" s="5" t="s">
        <v>187</v>
      </c>
      <c r="C6" s="6">
        <v>9.5</v>
      </c>
      <c r="D6" s="7">
        <v>0.54</v>
      </c>
      <c r="E6" s="6">
        <f t="shared" si="0"/>
        <v>111.1111111111111</v>
      </c>
      <c r="F6" s="6">
        <v>110</v>
      </c>
      <c r="G6" s="6">
        <f t="shared" si="1"/>
        <v>1045</v>
      </c>
      <c r="H6" s="6">
        <v>855</v>
      </c>
      <c r="I6" s="6">
        <f t="shared" si="2"/>
        <v>7.6950000000000012</v>
      </c>
      <c r="J6" s="7">
        <f t="shared" si="3"/>
        <v>0.81000000000000016</v>
      </c>
      <c r="K6" s="6">
        <v>1</v>
      </c>
      <c r="L6" s="7">
        <f t="shared" si="4"/>
        <v>0.81818181818181812</v>
      </c>
      <c r="M6" s="5" t="s">
        <v>99</v>
      </c>
      <c r="N6" s="5" t="s">
        <v>16</v>
      </c>
      <c r="O6" s="4" t="s">
        <v>39</v>
      </c>
      <c r="P6" s="16" t="s">
        <v>100</v>
      </c>
      <c r="Q6" s="13" t="s">
        <v>57</v>
      </c>
      <c r="R6" s="13">
        <v>95</v>
      </c>
      <c r="S6" s="7">
        <f t="shared" si="5"/>
        <v>9</v>
      </c>
      <c r="T6" s="7">
        <f t="shared" si="6"/>
        <v>0.94736842105263153</v>
      </c>
      <c r="U6" s="2">
        <f t="shared" si="7"/>
        <v>0.63157894736842102</v>
      </c>
    </row>
    <row r="7" spans="1:21" ht="15.5" x14ac:dyDescent="0.35">
      <c r="A7" s="5">
        <v>6</v>
      </c>
      <c r="B7" s="5" t="s">
        <v>80</v>
      </c>
      <c r="C7" s="6">
        <v>9.5</v>
      </c>
      <c r="D7" s="7">
        <v>0.5</v>
      </c>
      <c r="E7" s="6">
        <f t="shared" si="0"/>
        <v>120</v>
      </c>
      <c r="F7" s="6">
        <v>120</v>
      </c>
      <c r="G7" s="6">
        <f t="shared" si="1"/>
        <v>1140</v>
      </c>
      <c r="H7" s="6">
        <v>855</v>
      </c>
      <c r="I7" s="6">
        <f t="shared" si="2"/>
        <v>7.125</v>
      </c>
      <c r="J7" s="7">
        <f t="shared" si="3"/>
        <v>0.75</v>
      </c>
      <c r="K7" s="6">
        <v>1</v>
      </c>
      <c r="L7" s="7">
        <f t="shared" si="4"/>
        <v>0.75</v>
      </c>
      <c r="M7" s="5" t="s">
        <v>99</v>
      </c>
      <c r="N7" s="5" t="s">
        <v>23</v>
      </c>
      <c r="O7" s="4" t="s">
        <v>41</v>
      </c>
      <c r="P7" s="16" t="s">
        <v>100</v>
      </c>
      <c r="Q7" s="13" t="s">
        <v>180</v>
      </c>
      <c r="R7" s="13">
        <v>120</v>
      </c>
      <c r="S7" s="7">
        <f t="shared" si="5"/>
        <v>7.125</v>
      </c>
      <c r="T7" s="7">
        <f t="shared" si="6"/>
        <v>0.75</v>
      </c>
      <c r="U7" s="2">
        <f t="shared" si="7"/>
        <v>0.5</v>
      </c>
    </row>
    <row r="8" spans="1:21" ht="15.5" x14ac:dyDescent="0.35">
      <c r="A8" s="5">
        <v>7</v>
      </c>
      <c r="B8" s="5" t="s">
        <v>81</v>
      </c>
      <c r="C8" s="6">
        <v>9.5</v>
      </c>
      <c r="D8" s="7">
        <v>0.25</v>
      </c>
      <c r="E8" s="6">
        <f t="shared" si="0"/>
        <v>240</v>
      </c>
      <c r="F8" s="6">
        <v>240</v>
      </c>
      <c r="G8" s="6">
        <f t="shared" si="1"/>
        <v>2280</v>
      </c>
      <c r="H8" s="6">
        <v>855</v>
      </c>
      <c r="I8" s="6">
        <f t="shared" si="2"/>
        <v>3.5625</v>
      </c>
      <c r="J8" s="7">
        <f t="shared" si="3"/>
        <v>0.375</v>
      </c>
      <c r="K8" s="6">
        <v>1</v>
      </c>
      <c r="L8" s="7">
        <f t="shared" si="4"/>
        <v>0.375</v>
      </c>
      <c r="M8" s="5" t="s">
        <v>99</v>
      </c>
      <c r="N8" s="5" t="s">
        <v>65</v>
      </c>
      <c r="O8" s="4" t="s">
        <v>40</v>
      </c>
      <c r="P8" s="16" t="s">
        <v>100</v>
      </c>
      <c r="Q8" s="13" t="s">
        <v>180</v>
      </c>
      <c r="R8" s="13">
        <v>150</v>
      </c>
      <c r="S8" s="7">
        <f t="shared" si="5"/>
        <v>5.7</v>
      </c>
      <c r="T8" s="7">
        <f t="shared" si="6"/>
        <v>0.6</v>
      </c>
      <c r="U8" s="2">
        <f t="shared" si="7"/>
        <v>0.4</v>
      </c>
    </row>
    <row r="9" spans="1:21" ht="15.5" x14ac:dyDescent="0.35">
      <c r="A9" s="5">
        <v>8</v>
      </c>
      <c r="B9" s="5" t="s">
        <v>82</v>
      </c>
      <c r="C9" s="6">
        <v>9.5</v>
      </c>
      <c r="D9" s="7">
        <v>0.54</v>
      </c>
      <c r="E9" s="6">
        <f t="shared" si="0"/>
        <v>111.1111111111111</v>
      </c>
      <c r="F9" s="6">
        <v>110</v>
      </c>
      <c r="G9" s="6">
        <f t="shared" si="1"/>
        <v>1045</v>
      </c>
      <c r="H9" s="6">
        <v>855</v>
      </c>
      <c r="I9" s="6">
        <f t="shared" si="2"/>
        <v>7.6950000000000012</v>
      </c>
      <c r="J9" s="7">
        <f t="shared" si="3"/>
        <v>0.81000000000000016</v>
      </c>
      <c r="K9" s="6">
        <v>1</v>
      </c>
      <c r="L9" s="7">
        <f t="shared" si="4"/>
        <v>0.81818181818181812</v>
      </c>
      <c r="M9" s="5" t="s">
        <v>99</v>
      </c>
      <c r="N9" s="5" t="s">
        <v>65</v>
      </c>
      <c r="O9" s="4" t="s">
        <v>40</v>
      </c>
      <c r="P9" s="16" t="s">
        <v>100</v>
      </c>
      <c r="Q9" s="13" t="s">
        <v>57</v>
      </c>
      <c r="R9" s="13">
        <v>110</v>
      </c>
      <c r="S9" s="7">
        <f t="shared" si="5"/>
        <v>7.7727272727272725</v>
      </c>
      <c r="T9" s="7">
        <f t="shared" si="6"/>
        <v>0.81818181818181812</v>
      </c>
      <c r="U9" s="2">
        <f t="shared" si="7"/>
        <v>0.54545454545454541</v>
      </c>
    </row>
    <row r="10" spans="1:21" ht="15.5" x14ac:dyDescent="0.35">
      <c r="A10" s="5">
        <v>9</v>
      </c>
      <c r="B10" s="5" t="s">
        <v>179</v>
      </c>
      <c r="C10" s="6">
        <v>9.5</v>
      </c>
      <c r="D10" s="7">
        <v>0.54</v>
      </c>
      <c r="E10" s="6">
        <f t="shared" si="0"/>
        <v>111.1111111111111</v>
      </c>
      <c r="F10" s="6">
        <v>110</v>
      </c>
      <c r="G10" s="6">
        <f t="shared" si="1"/>
        <v>1045</v>
      </c>
      <c r="H10" s="6">
        <v>855</v>
      </c>
      <c r="I10" s="6">
        <f t="shared" si="2"/>
        <v>7.6950000000000012</v>
      </c>
      <c r="J10" s="7">
        <f t="shared" si="3"/>
        <v>0.81000000000000016</v>
      </c>
      <c r="K10" s="6">
        <v>1</v>
      </c>
      <c r="L10" s="7">
        <f t="shared" si="4"/>
        <v>0.81818181818181812</v>
      </c>
      <c r="M10" s="5" t="s">
        <v>99</v>
      </c>
      <c r="N10" s="5" t="s">
        <v>65</v>
      </c>
      <c r="O10" s="4" t="s">
        <v>40</v>
      </c>
      <c r="P10" s="16" t="s">
        <v>100</v>
      </c>
      <c r="Q10" s="13" t="s">
        <v>180</v>
      </c>
      <c r="R10" s="13">
        <v>110</v>
      </c>
      <c r="S10" s="7">
        <f t="shared" si="5"/>
        <v>7.7727272727272725</v>
      </c>
      <c r="T10" s="7">
        <f t="shared" si="6"/>
        <v>0.81818181818181812</v>
      </c>
      <c r="U10" s="2">
        <f t="shared" si="7"/>
        <v>0.54545454545454541</v>
      </c>
    </row>
    <row r="11" spans="1:21" ht="15.5" x14ac:dyDescent="0.35">
      <c r="A11" s="5">
        <v>10</v>
      </c>
      <c r="B11" s="5" t="s">
        <v>83</v>
      </c>
      <c r="C11" s="6">
        <v>9.5</v>
      </c>
      <c r="D11" s="7">
        <v>0.85</v>
      </c>
      <c r="E11" s="6">
        <f t="shared" si="0"/>
        <v>70.588235294117652</v>
      </c>
      <c r="F11" s="6">
        <v>70</v>
      </c>
      <c r="G11" s="6">
        <f t="shared" si="1"/>
        <v>665</v>
      </c>
      <c r="H11" s="6">
        <v>855</v>
      </c>
      <c r="I11" s="6">
        <f t="shared" si="2"/>
        <v>12.112499999999999</v>
      </c>
      <c r="J11" s="7">
        <f t="shared" si="3"/>
        <v>1.2749999999999999</v>
      </c>
      <c r="K11" s="6">
        <v>2</v>
      </c>
      <c r="L11" s="7">
        <f t="shared" si="4"/>
        <v>1.2857142857142856</v>
      </c>
      <c r="M11" s="5" t="s">
        <v>99</v>
      </c>
      <c r="N11" s="5" t="s">
        <v>84</v>
      </c>
      <c r="O11" s="5" t="s">
        <v>40</v>
      </c>
      <c r="P11" s="16" t="s">
        <v>100</v>
      </c>
      <c r="Q11" s="13" t="s">
        <v>181</v>
      </c>
      <c r="R11" s="13">
        <v>70</v>
      </c>
      <c r="S11" s="7">
        <f t="shared" si="5"/>
        <v>12.214285714285714</v>
      </c>
      <c r="T11" s="7">
        <f t="shared" si="6"/>
        <v>1.2857142857142856</v>
      </c>
      <c r="U11" s="2">
        <f t="shared" si="7"/>
        <v>0.8571428571428571</v>
      </c>
    </row>
    <row r="12" spans="1:21" ht="15.5" x14ac:dyDescent="0.35">
      <c r="A12" s="5">
        <v>11</v>
      </c>
      <c r="B12" s="5" t="s">
        <v>178</v>
      </c>
      <c r="C12" s="6">
        <v>9.5</v>
      </c>
      <c r="D12" s="7">
        <v>0.47</v>
      </c>
      <c r="E12" s="6">
        <f t="shared" si="0"/>
        <v>127.65957446808511</v>
      </c>
      <c r="F12" s="6">
        <v>125</v>
      </c>
      <c r="G12" s="6">
        <f t="shared" si="1"/>
        <v>1187.5</v>
      </c>
      <c r="H12" s="6">
        <v>855</v>
      </c>
      <c r="I12" s="6">
        <f t="shared" si="2"/>
        <v>6.6974999999999998</v>
      </c>
      <c r="J12" s="7">
        <f t="shared" si="3"/>
        <v>0.70499999999999996</v>
      </c>
      <c r="K12" s="6">
        <v>1</v>
      </c>
      <c r="L12" s="7">
        <f t="shared" si="4"/>
        <v>0.72</v>
      </c>
      <c r="M12" s="5" t="s">
        <v>99</v>
      </c>
      <c r="N12" s="5" t="s">
        <v>12</v>
      </c>
      <c r="O12" s="16" t="s">
        <v>40</v>
      </c>
      <c r="P12" s="16" t="s">
        <v>100</v>
      </c>
      <c r="Q12" s="13"/>
      <c r="R12" s="13">
        <v>125</v>
      </c>
      <c r="S12" s="7">
        <f t="shared" si="5"/>
        <v>6.84</v>
      </c>
      <c r="T12" s="7">
        <f t="shared" si="6"/>
        <v>0.72</v>
      </c>
      <c r="U12" s="2">
        <f t="shared" si="7"/>
        <v>0.48</v>
      </c>
    </row>
    <row r="13" spans="1:21" ht="15.5" x14ac:dyDescent="0.35">
      <c r="A13" s="5">
        <v>12</v>
      </c>
      <c r="B13" s="5" t="s">
        <v>85</v>
      </c>
      <c r="C13" s="6">
        <v>9.5</v>
      </c>
      <c r="D13" s="7">
        <v>0.54</v>
      </c>
      <c r="E13" s="6">
        <f t="shared" si="0"/>
        <v>111.1111111111111</v>
      </c>
      <c r="F13" s="6">
        <v>110</v>
      </c>
      <c r="G13" s="6">
        <f t="shared" si="1"/>
        <v>1045</v>
      </c>
      <c r="H13" s="6">
        <v>855</v>
      </c>
      <c r="I13" s="6">
        <f t="shared" si="2"/>
        <v>7.6950000000000012</v>
      </c>
      <c r="J13" s="7">
        <f t="shared" si="3"/>
        <v>0.81000000000000016</v>
      </c>
      <c r="K13" s="6">
        <v>1</v>
      </c>
      <c r="L13" s="7">
        <f t="shared" si="4"/>
        <v>0.81818181818181812</v>
      </c>
      <c r="M13" s="5" t="s">
        <v>99</v>
      </c>
      <c r="N13" s="5" t="s">
        <v>12</v>
      </c>
      <c r="O13" s="16" t="s">
        <v>40</v>
      </c>
      <c r="P13" s="16" t="s">
        <v>100</v>
      </c>
      <c r="Q13" s="13">
        <v>100</v>
      </c>
      <c r="R13" s="13">
        <v>110</v>
      </c>
      <c r="S13" s="7">
        <f t="shared" si="5"/>
        <v>7.7727272727272725</v>
      </c>
      <c r="T13" s="7">
        <f t="shared" si="6"/>
        <v>0.81818181818181812</v>
      </c>
      <c r="U13" s="2">
        <f t="shared" si="7"/>
        <v>0.54545454545454541</v>
      </c>
    </row>
    <row r="14" spans="1:21" ht="15.5" x14ac:dyDescent="0.35">
      <c r="A14" s="5">
        <v>13</v>
      </c>
      <c r="B14" s="5" t="s">
        <v>86</v>
      </c>
      <c r="C14" s="6">
        <v>9.5</v>
      </c>
      <c r="D14" s="7">
        <v>2.8</v>
      </c>
      <c r="E14" s="6">
        <f t="shared" si="0"/>
        <v>21.428571428571431</v>
      </c>
      <c r="F14" s="6">
        <v>21</v>
      </c>
      <c r="G14" s="6">
        <f t="shared" si="1"/>
        <v>199.5</v>
      </c>
      <c r="H14" s="6">
        <v>855</v>
      </c>
      <c r="I14" s="6">
        <f t="shared" si="2"/>
        <v>39.9</v>
      </c>
      <c r="J14" s="7">
        <f t="shared" si="3"/>
        <v>4.2</v>
      </c>
      <c r="K14" s="6">
        <v>5</v>
      </c>
      <c r="L14" s="7">
        <f t="shared" si="4"/>
        <v>4.2857142857142856</v>
      </c>
      <c r="M14" s="5" t="s">
        <v>99</v>
      </c>
      <c r="N14" s="5" t="s">
        <v>12</v>
      </c>
      <c r="O14" s="5" t="s">
        <v>40</v>
      </c>
      <c r="P14" s="16" t="s">
        <v>100</v>
      </c>
      <c r="Q14" s="13">
        <v>40</v>
      </c>
      <c r="R14" s="13">
        <v>35</v>
      </c>
      <c r="S14" s="7">
        <f t="shared" si="5"/>
        <v>24.428571428571427</v>
      </c>
      <c r="T14" s="7">
        <f t="shared" si="6"/>
        <v>2.5714285714285712</v>
      </c>
      <c r="U14" s="2">
        <f t="shared" si="7"/>
        <v>1.7142857142857142</v>
      </c>
    </row>
    <row r="15" spans="1:21" ht="15.5" x14ac:dyDescent="0.35">
      <c r="A15" s="5">
        <v>14</v>
      </c>
      <c r="B15" s="5" t="s">
        <v>87</v>
      </c>
      <c r="C15" s="6">
        <v>9.5</v>
      </c>
      <c r="D15" s="7">
        <v>0.54</v>
      </c>
      <c r="E15" s="6">
        <f t="shared" si="0"/>
        <v>111.1111111111111</v>
      </c>
      <c r="F15" s="6">
        <v>100</v>
      </c>
      <c r="G15" s="6">
        <f t="shared" si="1"/>
        <v>950</v>
      </c>
      <c r="H15" s="6">
        <v>855</v>
      </c>
      <c r="I15" s="6">
        <f t="shared" si="2"/>
        <v>7.6950000000000012</v>
      </c>
      <c r="J15" s="7">
        <f t="shared" si="3"/>
        <v>0.81000000000000016</v>
      </c>
      <c r="K15" s="6">
        <v>1</v>
      </c>
      <c r="L15" s="7">
        <f t="shared" si="4"/>
        <v>0.9</v>
      </c>
      <c r="M15" s="5" t="s">
        <v>99</v>
      </c>
      <c r="N15" s="5" t="s">
        <v>12</v>
      </c>
      <c r="O15" s="5" t="s">
        <v>40</v>
      </c>
      <c r="P15" s="16" t="s">
        <v>100</v>
      </c>
      <c r="Q15" s="13">
        <v>120</v>
      </c>
      <c r="R15" s="13">
        <v>111</v>
      </c>
      <c r="S15" s="7">
        <f t="shared" si="5"/>
        <v>7.7027027027027026</v>
      </c>
      <c r="T15" s="7">
        <f t="shared" si="6"/>
        <v>0.81081081081081086</v>
      </c>
      <c r="U15" s="2">
        <f t="shared" si="7"/>
        <v>0.54054054054054057</v>
      </c>
    </row>
    <row r="16" spans="1:21" ht="15.5" x14ac:dyDescent="0.35">
      <c r="A16" s="5">
        <v>15</v>
      </c>
      <c r="B16" s="5" t="s">
        <v>88</v>
      </c>
      <c r="C16" s="6">
        <v>9.5</v>
      </c>
      <c r="D16" s="7">
        <v>1</v>
      </c>
      <c r="E16" s="6">
        <f t="shared" si="0"/>
        <v>60</v>
      </c>
      <c r="F16" s="6">
        <v>60</v>
      </c>
      <c r="G16" s="6">
        <f t="shared" si="1"/>
        <v>570</v>
      </c>
      <c r="H16" s="6">
        <v>855</v>
      </c>
      <c r="I16" s="6">
        <f t="shared" si="2"/>
        <v>14.25</v>
      </c>
      <c r="J16" s="7">
        <f t="shared" si="3"/>
        <v>1.5</v>
      </c>
      <c r="K16" s="6">
        <v>2</v>
      </c>
      <c r="L16" s="7">
        <f t="shared" si="4"/>
        <v>1.5</v>
      </c>
      <c r="M16" s="5" t="s">
        <v>99</v>
      </c>
      <c r="N16" s="5" t="s">
        <v>12</v>
      </c>
      <c r="O16" s="5" t="s">
        <v>40</v>
      </c>
      <c r="P16" s="16" t="s">
        <v>100</v>
      </c>
      <c r="Q16" s="13">
        <v>90</v>
      </c>
      <c r="R16" s="13">
        <v>90</v>
      </c>
      <c r="S16" s="7">
        <f t="shared" si="5"/>
        <v>9.5</v>
      </c>
      <c r="T16" s="7">
        <f t="shared" si="6"/>
        <v>1</v>
      </c>
      <c r="U16" s="2">
        <f t="shared" si="7"/>
        <v>0.66666666666666663</v>
      </c>
    </row>
    <row r="17" spans="1:21" ht="15.5" x14ac:dyDescent="0.35">
      <c r="A17" s="5">
        <v>16</v>
      </c>
      <c r="B17" s="5" t="s">
        <v>89</v>
      </c>
      <c r="C17" s="6">
        <v>9.5</v>
      </c>
      <c r="D17" s="7">
        <v>0.85</v>
      </c>
      <c r="E17" s="6">
        <f t="shared" si="0"/>
        <v>70.588235294117652</v>
      </c>
      <c r="F17" s="6">
        <v>70</v>
      </c>
      <c r="G17" s="6">
        <f t="shared" si="1"/>
        <v>665</v>
      </c>
      <c r="H17" s="6">
        <v>855</v>
      </c>
      <c r="I17" s="6">
        <f t="shared" si="2"/>
        <v>12.112499999999999</v>
      </c>
      <c r="J17" s="7">
        <f t="shared" si="3"/>
        <v>1.2749999999999999</v>
      </c>
      <c r="K17" s="6">
        <v>2</v>
      </c>
      <c r="L17" s="7">
        <f t="shared" si="4"/>
        <v>1.2857142857142856</v>
      </c>
      <c r="M17" s="5" t="s">
        <v>99</v>
      </c>
      <c r="N17" s="5" t="s">
        <v>90</v>
      </c>
      <c r="O17" s="5" t="s">
        <v>41</v>
      </c>
      <c r="P17" s="16" t="s">
        <v>100</v>
      </c>
      <c r="Q17" s="13">
        <v>90</v>
      </c>
      <c r="R17" s="13">
        <v>100</v>
      </c>
      <c r="S17" s="7">
        <f t="shared" si="5"/>
        <v>8.5500000000000007</v>
      </c>
      <c r="T17" s="7">
        <f t="shared" si="6"/>
        <v>0.9</v>
      </c>
      <c r="U17" s="2">
        <f t="shared" si="7"/>
        <v>0.6</v>
      </c>
    </row>
    <row r="18" spans="1:21" ht="15.5" x14ac:dyDescent="0.35">
      <c r="A18" s="5">
        <v>17</v>
      </c>
      <c r="B18" s="5" t="s">
        <v>91</v>
      </c>
      <c r="C18" s="6">
        <v>9.5</v>
      </c>
      <c r="D18" s="7">
        <v>0.9</v>
      </c>
      <c r="E18" s="6">
        <f t="shared" si="0"/>
        <v>66.666666666666671</v>
      </c>
      <c r="F18" s="6">
        <v>66</v>
      </c>
      <c r="G18" s="6">
        <f t="shared" si="1"/>
        <v>627</v>
      </c>
      <c r="H18" s="6">
        <v>855</v>
      </c>
      <c r="I18" s="6">
        <f t="shared" si="2"/>
        <v>12.824999999999999</v>
      </c>
      <c r="J18" s="7">
        <f t="shared" si="3"/>
        <v>1.3499999999999999</v>
      </c>
      <c r="K18" s="6">
        <v>2</v>
      </c>
      <c r="L18" s="7">
        <f t="shared" si="4"/>
        <v>1.3636363636363638</v>
      </c>
      <c r="M18" s="5" t="s">
        <v>99</v>
      </c>
      <c r="N18" s="5" t="s">
        <v>92</v>
      </c>
      <c r="O18" s="9" t="s">
        <v>40</v>
      </c>
      <c r="P18" s="16" t="s">
        <v>100</v>
      </c>
      <c r="Q18" s="13">
        <v>90</v>
      </c>
      <c r="R18" s="13">
        <v>90</v>
      </c>
      <c r="S18" s="7">
        <f t="shared" si="5"/>
        <v>9.5</v>
      </c>
      <c r="T18" s="7">
        <f t="shared" si="6"/>
        <v>1</v>
      </c>
      <c r="U18" s="2">
        <f t="shared" si="7"/>
        <v>0.66666666666666663</v>
      </c>
    </row>
    <row r="19" spans="1:21" ht="15.5" x14ac:dyDescent="0.35">
      <c r="A19" s="5">
        <v>18</v>
      </c>
      <c r="B19" s="5" t="s">
        <v>93</v>
      </c>
      <c r="C19" s="6">
        <v>9.5</v>
      </c>
      <c r="D19" s="7">
        <v>0.54</v>
      </c>
      <c r="E19" s="6">
        <f t="shared" si="0"/>
        <v>111.1111111111111</v>
      </c>
      <c r="F19" s="6">
        <v>111</v>
      </c>
      <c r="G19" s="6">
        <f t="shared" si="1"/>
        <v>1054.5</v>
      </c>
      <c r="H19" s="6">
        <v>855</v>
      </c>
      <c r="I19" s="6">
        <f t="shared" si="2"/>
        <v>7.6950000000000012</v>
      </c>
      <c r="J19" s="7">
        <f t="shared" si="3"/>
        <v>0.81000000000000016</v>
      </c>
      <c r="K19" s="6">
        <v>1</v>
      </c>
      <c r="L19" s="7">
        <f t="shared" si="4"/>
        <v>0.81081081081081086</v>
      </c>
      <c r="M19" s="5" t="s">
        <v>99</v>
      </c>
      <c r="N19" s="5" t="s">
        <v>12</v>
      </c>
      <c r="O19" s="16" t="s">
        <v>40</v>
      </c>
      <c r="P19" s="16" t="s">
        <v>100</v>
      </c>
      <c r="Q19" s="13" t="s">
        <v>180</v>
      </c>
      <c r="R19" s="13">
        <v>111</v>
      </c>
      <c r="S19" s="7">
        <f t="shared" si="5"/>
        <v>7.7027027027027026</v>
      </c>
      <c r="T19" s="7">
        <f t="shared" si="6"/>
        <v>0.81081081081081086</v>
      </c>
      <c r="U19" s="2">
        <f t="shared" si="7"/>
        <v>0.54054054054054057</v>
      </c>
    </row>
    <row r="20" spans="1:21" ht="15.5" x14ac:dyDescent="0.35">
      <c r="A20" s="5">
        <v>19</v>
      </c>
      <c r="B20" s="5" t="s">
        <v>94</v>
      </c>
      <c r="C20" s="6">
        <v>9.5</v>
      </c>
      <c r="D20" s="7">
        <v>0.63</v>
      </c>
      <c r="E20" s="6">
        <f t="shared" si="0"/>
        <v>95.238095238095241</v>
      </c>
      <c r="F20" s="6">
        <v>80</v>
      </c>
      <c r="G20" s="6">
        <f t="shared" si="1"/>
        <v>760</v>
      </c>
      <c r="H20" s="6">
        <v>855</v>
      </c>
      <c r="I20" s="6">
        <f t="shared" si="2"/>
        <v>8.9774999999999991</v>
      </c>
      <c r="J20" s="7">
        <f t="shared" si="3"/>
        <v>0.94499999999999995</v>
      </c>
      <c r="K20" s="6">
        <v>1</v>
      </c>
      <c r="L20" s="7">
        <f t="shared" si="4"/>
        <v>1.125</v>
      </c>
      <c r="M20" s="5" t="s">
        <v>99</v>
      </c>
      <c r="N20" s="5" t="s">
        <v>12</v>
      </c>
      <c r="O20" s="9" t="s">
        <v>40</v>
      </c>
      <c r="P20" s="16" t="s">
        <v>100</v>
      </c>
      <c r="Q20" s="13" t="s">
        <v>180</v>
      </c>
      <c r="R20" s="13">
        <v>95</v>
      </c>
      <c r="S20" s="7">
        <f t="shared" si="5"/>
        <v>9</v>
      </c>
      <c r="T20" s="7">
        <f t="shared" si="6"/>
        <v>0.94736842105263153</v>
      </c>
      <c r="U20" s="2">
        <f t="shared" si="7"/>
        <v>0.63157894736842102</v>
      </c>
    </row>
    <row r="21" spans="1:21" ht="15.5" x14ac:dyDescent="0.35">
      <c r="A21" s="5">
        <v>20</v>
      </c>
      <c r="B21" s="5" t="s">
        <v>95</v>
      </c>
      <c r="C21" s="6">
        <v>9.5</v>
      </c>
      <c r="D21" s="7">
        <v>1</v>
      </c>
      <c r="E21" s="6">
        <f t="shared" si="0"/>
        <v>60</v>
      </c>
      <c r="F21" s="6">
        <v>70</v>
      </c>
      <c r="G21" s="6">
        <f t="shared" si="1"/>
        <v>665</v>
      </c>
      <c r="H21" s="6">
        <v>855</v>
      </c>
      <c r="I21" s="6">
        <f t="shared" si="2"/>
        <v>14.25</v>
      </c>
      <c r="J21" s="7">
        <f t="shared" si="3"/>
        <v>1.5</v>
      </c>
      <c r="K21" s="6">
        <v>2</v>
      </c>
      <c r="L21" s="7">
        <f t="shared" si="4"/>
        <v>1.2857142857142856</v>
      </c>
      <c r="M21" s="5" t="s">
        <v>99</v>
      </c>
      <c r="N21" s="5" t="s">
        <v>12</v>
      </c>
      <c r="O21" s="9" t="s">
        <v>40</v>
      </c>
      <c r="P21" s="16" t="s">
        <v>100</v>
      </c>
      <c r="Q21" s="13"/>
      <c r="R21" s="13">
        <v>90</v>
      </c>
      <c r="S21" s="7">
        <f t="shared" si="5"/>
        <v>9.5</v>
      </c>
      <c r="T21" s="7">
        <f t="shared" si="6"/>
        <v>1</v>
      </c>
      <c r="U21" s="2">
        <f t="shared" si="7"/>
        <v>0.66666666666666663</v>
      </c>
    </row>
    <row r="22" spans="1:21" ht="15.5" x14ac:dyDescent="0.35">
      <c r="A22" s="5">
        <v>21</v>
      </c>
      <c r="B22" s="5" t="s">
        <v>188</v>
      </c>
      <c r="C22" s="6">
        <v>9.5</v>
      </c>
      <c r="D22" s="7">
        <v>0.4</v>
      </c>
      <c r="E22" s="6">
        <f t="shared" si="0"/>
        <v>150</v>
      </c>
      <c r="F22" s="6">
        <v>150</v>
      </c>
      <c r="G22" s="6">
        <f t="shared" si="1"/>
        <v>1425</v>
      </c>
      <c r="H22" s="6">
        <v>855</v>
      </c>
      <c r="I22" s="6">
        <f t="shared" si="2"/>
        <v>5.7</v>
      </c>
      <c r="J22" s="7">
        <f t="shared" si="3"/>
        <v>0.6</v>
      </c>
      <c r="K22" s="6">
        <v>1</v>
      </c>
      <c r="L22" s="7">
        <f t="shared" si="4"/>
        <v>0.6</v>
      </c>
      <c r="M22" s="5" t="s">
        <v>99</v>
      </c>
      <c r="N22" s="5" t="s">
        <v>12</v>
      </c>
      <c r="O22" s="16" t="s">
        <v>40</v>
      </c>
      <c r="P22" s="16" t="s">
        <v>100</v>
      </c>
      <c r="Q22" s="13"/>
      <c r="R22" s="13">
        <v>150</v>
      </c>
      <c r="S22" s="7">
        <f t="shared" si="5"/>
        <v>5.7</v>
      </c>
      <c r="T22" s="7">
        <f t="shared" si="6"/>
        <v>0.6</v>
      </c>
      <c r="U22" s="2">
        <f t="shared" si="7"/>
        <v>0.4</v>
      </c>
    </row>
    <row r="23" spans="1:21" ht="15.5" x14ac:dyDescent="0.35">
      <c r="A23" s="5">
        <v>22</v>
      </c>
      <c r="B23" s="5" t="s">
        <v>96</v>
      </c>
      <c r="C23" s="6">
        <v>9.5</v>
      </c>
      <c r="D23" s="7">
        <v>2</v>
      </c>
      <c r="E23" s="6">
        <f t="shared" si="0"/>
        <v>30</v>
      </c>
      <c r="F23" s="6">
        <v>30</v>
      </c>
      <c r="G23" s="6">
        <f t="shared" si="1"/>
        <v>285</v>
      </c>
      <c r="H23" s="6">
        <v>855</v>
      </c>
      <c r="I23" s="6">
        <f t="shared" si="2"/>
        <v>28.5</v>
      </c>
      <c r="J23" s="7">
        <f t="shared" si="3"/>
        <v>3</v>
      </c>
      <c r="K23" s="6">
        <v>3</v>
      </c>
      <c r="L23" s="7">
        <f t="shared" si="4"/>
        <v>3</v>
      </c>
      <c r="M23" s="5" t="s">
        <v>99</v>
      </c>
      <c r="N23" s="5" t="s">
        <v>97</v>
      </c>
      <c r="O23" s="9" t="s">
        <v>40</v>
      </c>
      <c r="P23" s="16" t="s">
        <v>100</v>
      </c>
      <c r="Q23" s="13">
        <v>43</v>
      </c>
      <c r="R23" s="13">
        <v>45</v>
      </c>
      <c r="S23" s="7">
        <f t="shared" si="5"/>
        <v>19</v>
      </c>
      <c r="T23" s="7">
        <f t="shared" si="6"/>
        <v>2</v>
      </c>
      <c r="U23" s="2">
        <f t="shared" si="7"/>
        <v>1.3333333333333333</v>
      </c>
    </row>
    <row r="24" spans="1:21" ht="15.5" x14ac:dyDescent="0.35">
      <c r="A24" s="5">
        <v>23</v>
      </c>
      <c r="B24" s="5" t="s">
        <v>175</v>
      </c>
      <c r="C24" s="6">
        <v>9.5</v>
      </c>
      <c r="D24" s="7">
        <v>0.6</v>
      </c>
      <c r="E24" s="6">
        <f t="shared" si="0"/>
        <v>100</v>
      </c>
      <c r="F24" s="6">
        <v>100</v>
      </c>
      <c r="G24" s="6">
        <f t="shared" si="1"/>
        <v>950</v>
      </c>
      <c r="H24" s="6">
        <v>855</v>
      </c>
      <c r="I24" s="6">
        <f t="shared" si="2"/>
        <v>8.5500000000000007</v>
      </c>
      <c r="J24" s="7">
        <f t="shared" si="3"/>
        <v>0.9</v>
      </c>
      <c r="K24" s="6">
        <v>1</v>
      </c>
      <c r="L24" s="7">
        <f t="shared" si="4"/>
        <v>0.9</v>
      </c>
      <c r="M24" s="5" t="s">
        <v>99</v>
      </c>
      <c r="N24" s="5" t="s">
        <v>16</v>
      </c>
      <c r="O24" s="4" t="s">
        <v>40</v>
      </c>
      <c r="P24" s="16" t="s">
        <v>100</v>
      </c>
      <c r="Q24" s="13" t="s">
        <v>180</v>
      </c>
      <c r="R24" s="13">
        <v>100</v>
      </c>
      <c r="S24" s="7">
        <f t="shared" si="5"/>
        <v>8.5500000000000007</v>
      </c>
      <c r="T24" s="7">
        <f t="shared" si="6"/>
        <v>0.9</v>
      </c>
      <c r="U24" s="2">
        <f t="shared" si="7"/>
        <v>0.6</v>
      </c>
    </row>
    <row r="25" spans="1:21" ht="15.5" x14ac:dyDescent="0.35">
      <c r="A25" s="5">
        <v>24</v>
      </c>
      <c r="B25" s="12" t="s">
        <v>98</v>
      </c>
      <c r="C25" s="32">
        <v>9.5</v>
      </c>
      <c r="D25" s="31">
        <v>0.25</v>
      </c>
      <c r="E25" s="32">
        <f t="shared" si="0"/>
        <v>240</v>
      </c>
      <c r="F25" s="32">
        <v>240</v>
      </c>
      <c r="G25" s="32">
        <f t="shared" si="1"/>
        <v>2280</v>
      </c>
      <c r="H25" s="32">
        <v>855</v>
      </c>
      <c r="I25" s="32">
        <f t="shared" si="2"/>
        <v>3.5625</v>
      </c>
      <c r="J25" s="31">
        <f t="shared" si="3"/>
        <v>0.375</v>
      </c>
      <c r="K25" s="32">
        <v>1</v>
      </c>
      <c r="L25" s="31">
        <f t="shared" si="4"/>
        <v>0.375</v>
      </c>
      <c r="M25" s="12" t="s">
        <v>99</v>
      </c>
      <c r="N25" s="12" t="s">
        <v>16</v>
      </c>
      <c r="O25" s="33" t="s">
        <v>39</v>
      </c>
      <c r="P25" s="41" t="s">
        <v>100</v>
      </c>
      <c r="Q25" s="40"/>
      <c r="R25" s="40" t="s">
        <v>59</v>
      </c>
      <c r="S25" s="7" t="str">
        <f t="shared" si="5"/>
        <v xml:space="preserve"> </v>
      </c>
      <c r="T25" s="7" t="str">
        <f t="shared" si="6"/>
        <v xml:space="preserve"> </v>
      </c>
    </row>
    <row r="26" spans="1:21" x14ac:dyDescent="0.35">
      <c r="J26" s="2">
        <f>SUM(J2:J25)</f>
        <v>33.854999999999997</v>
      </c>
      <c r="L26" s="2">
        <f>SUM(L2:L25)</f>
        <v>34.548075068292455</v>
      </c>
      <c r="T26" s="2">
        <f>SUM(T2:T25)</f>
        <v>27.383761061129476</v>
      </c>
    </row>
  </sheetData>
  <pageMargins left="0.23622047244094491" right="0.23622047244094491" top="0.35433070866141736" bottom="0.35433070866141736" header="0.31496062992125984" footer="0.31496062992125984"/>
  <pageSetup scale="4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6667D-B63B-4612-9E5B-48477FBC169D}">
  <sheetPr>
    <tabColor theme="9" tint="0.79998168889431442"/>
    <pageSetUpPr fitToPage="1"/>
  </sheetPr>
  <dimension ref="A1:U13"/>
  <sheetViews>
    <sheetView zoomScale="85" zoomScaleNormal="85" workbookViewId="0">
      <pane xSplit="7" ySplit="1" topLeftCell="L2" activePane="bottomRight" state="frozen"/>
      <selection pane="topRight" activeCell="H1" sqref="H1"/>
      <selection pane="bottomLeft" activeCell="A2" sqref="A2"/>
      <selection pane="bottomRight" activeCell="M2" sqref="M2:M12"/>
    </sheetView>
  </sheetViews>
  <sheetFormatPr baseColWidth="10" defaultColWidth="11.453125" defaultRowHeight="14.5" x14ac:dyDescent="0.35"/>
  <cols>
    <col min="1" max="1" width="3.26953125" style="1" bestFit="1" customWidth="1"/>
    <col min="2" max="2" width="28.6328125" style="1" bestFit="1" customWidth="1"/>
    <col min="3" max="3" width="8.1796875" style="1" bestFit="1" customWidth="1"/>
    <col min="4" max="4" width="6.90625" style="1" bestFit="1" customWidth="1"/>
    <col min="5" max="5" width="7.36328125" style="1" bestFit="1" customWidth="1"/>
    <col min="6" max="6" width="7" style="1" bestFit="1" customWidth="1"/>
    <col min="7" max="7" width="13.1796875" style="1" bestFit="1" customWidth="1"/>
    <col min="8" max="8" width="12.1796875" style="1" bestFit="1" customWidth="1"/>
    <col min="9" max="9" width="11" style="1" bestFit="1" customWidth="1"/>
    <col min="10" max="10" width="13.6328125" style="1" bestFit="1" customWidth="1"/>
    <col min="11" max="11" width="10" style="1" bestFit="1" customWidth="1"/>
    <col min="12" max="12" width="13.6328125" style="1" bestFit="1" customWidth="1"/>
    <col min="13" max="13" width="8.36328125" style="1" bestFit="1" customWidth="1"/>
    <col min="14" max="14" width="20.90625" style="1" bestFit="1" customWidth="1"/>
    <col min="15" max="15" width="12.36328125" style="1" bestFit="1" customWidth="1"/>
    <col min="16" max="16" width="13.81640625" style="1" bestFit="1" customWidth="1"/>
    <col min="17" max="17" width="12.26953125" style="1" bestFit="1" customWidth="1"/>
    <col min="18" max="18" width="21.90625" style="1" bestFit="1" customWidth="1"/>
    <col min="19" max="19" width="11" style="1" bestFit="1" customWidth="1"/>
    <col min="20" max="20" width="13.6328125" style="1" bestFit="1" customWidth="1"/>
    <col min="21" max="16384" width="11.453125" style="1"/>
  </cols>
  <sheetData>
    <row r="1" spans="1:21" x14ac:dyDescent="0.35">
      <c r="A1" s="18" t="s">
        <v>42</v>
      </c>
      <c r="B1" s="19" t="s">
        <v>1</v>
      </c>
      <c r="C1" s="19" t="s">
        <v>43</v>
      </c>
      <c r="D1" s="19" t="s">
        <v>2</v>
      </c>
      <c r="E1" s="19" t="s">
        <v>3</v>
      </c>
      <c r="F1" s="19" t="s">
        <v>53</v>
      </c>
      <c r="G1" s="19" t="s">
        <v>44</v>
      </c>
      <c r="H1" s="19" t="s">
        <v>45</v>
      </c>
      <c r="I1" s="19" t="s">
        <v>46</v>
      </c>
      <c r="J1" s="19" t="s">
        <v>47</v>
      </c>
      <c r="K1" s="19" t="s">
        <v>4</v>
      </c>
      <c r="L1" s="19" t="s">
        <v>61</v>
      </c>
      <c r="M1" s="19" t="s">
        <v>37</v>
      </c>
      <c r="N1" s="19" t="s">
        <v>38</v>
      </c>
      <c r="O1" s="19" t="s">
        <v>48</v>
      </c>
      <c r="P1" s="19" t="s">
        <v>49</v>
      </c>
      <c r="Q1" s="19" t="s">
        <v>51</v>
      </c>
      <c r="R1" s="19" t="s">
        <v>52</v>
      </c>
      <c r="S1" s="19" t="s">
        <v>46</v>
      </c>
      <c r="T1" s="19" t="s">
        <v>47</v>
      </c>
      <c r="U1" s="1" t="s">
        <v>203</v>
      </c>
    </row>
    <row r="2" spans="1:21" ht="25" customHeight="1" x14ac:dyDescent="0.35">
      <c r="A2" s="18">
        <v>1</v>
      </c>
      <c r="B2" s="19" t="s">
        <v>101</v>
      </c>
      <c r="C2" s="18">
        <v>9.5</v>
      </c>
      <c r="D2" s="20">
        <v>0.3</v>
      </c>
      <c r="E2" s="20">
        <f t="shared" ref="E2:E12" si="0">60/D2</f>
        <v>200</v>
      </c>
      <c r="F2" s="18">
        <v>200</v>
      </c>
      <c r="G2" s="21">
        <f>F2*C2</f>
        <v>1900</v>
      </c>
      <c r="H2" s="18">
        <v>855</v>
      </c>
      <c r="I2" s="20">
        <f>+H2/E2</f>
        <v>4.2750000000000004</v>
      </c>
      <c r="J2" s="20">
        <f>I2/C2</f>
        <v>0.45</v>
      </c>
      <c r="K2" s="20">
        <v>1</v>
      </c>
      <c r="L2" s="20">
        <f>IFERROR(((H2/F2)/$C$2)," ")</f>
        <v>0.45</v>
      </c>
      <c r="M2" s="19" t="s">
        <v>117</v>
      </c>
      <c r="N2" s="19" t="s">
        <v>102</v>
      </c>
      <c r="O2" s="22" t="s">
        <v>41</v>
      </c>
      <c r="P2" s="22" t="s">
        <v>50</v>
      </c>
      <c r="Q2" s="19" t="s">
        <v>54</v>
      </c>
      <c r="R2" s="19">
        <v>200</v>
      </c>
      <c r="S2" s="7">
        <f>IFERROR((H2/R2)," ")</f>
        <v>4.2750000000000004</v>
      </c>
      <c r="T2" s="7">
        <f>IFERROR((S2/$C$2)," ")</f>
        <v>0.45</v>
      </c>
      <c r="U2" s="2">
        <f>60/R2</f>
        <v>0.3</v>
      </c>
    </row>
    <row r="3" spans="1:21" ht="25" customHeight="1" x14ac:dyDescent="0.35">
      <c r="A3" s="18">
        <v>2</v>
      </c>
      <c r="B3" s="19" t="s">
        <v>103</v>
      </c>
      <c r="C3" s="18">
        <v>9.5</v>
      </c>
      <c r="D3" s="20">
        <v>0.66</v>
      </c>
      <c r="E3" s="20">
        <f t="shared" si="0"/>
        <v>90.909090909090907</v>
      </c>
      <c r="F3" s="18">
        <v>90</v>
      </c>
      <c r="G3" s="21">
        <f t="shared" ref="G3:G12" si="1">F3*C3</f>
        <v>855</v>
      </c>
      <c r="H3" s="18">
        <v>855</v>
      </c>
      <c r="I3" s="20">
        <f t="shared" ref="I3:I12" si="2">+H3/E3</f>
        <v>9.4050000000000011</v>
      </c>
      <c r="J3" s="20">
        <f t="shared" ref="J3:J12" si="3">I3/C3</f>
        <v>0.9900000000000001</v>
      </c>
      <c r="K3" s="20">
        <v>2</v>
      </c>
      <c r="L3" s="20">
        <f t="shared" ref="L3:L12" si="4">IFERROR(((H3/F3)/$C$2)," ")</f>
        <v>1</v>
      </c>
      <c r="M3" s="19" t="s">
        <v>117</v>
      </c>
      <c r="N3" s="19" t="s">
        <v>65</v>
      </c>
      <c r="O3" s="22" t="s">
        <v>40</v>
      </c>
      <c r="P3" s="22" t="s">
        <v>50</v>
      </c>
      <c r="Q3" s="19">
        <v>100</v>
      </c>
      <c r="R3" s="19">
        <v>95</v>
      </c>
      <c r="S3" s="7">
        <f t="shared" ref="S3:S12" si="5">IFERROR((H3/R3)," ")</f>
        <v>9</v>
      </c>
      <c r="T3" s="7">
        <f t="shared" ref="T3:T12" si="6">IFERROR((S3/$C$2)," ")</f>
        <v>0.94736842105263153</v>
      </c>
      <c r="U3" s="2">
        <f t="shared" ref="U3:U12" si="7">60/R3</f>
        <v>0.63157894736842102</v>
      </c>
    </row>
    <row r="4" spans="1:21" ht="25" customHeight="1" x14ac:dyDescent="0.35">
      <c r="A4" s="18">
        <v>4</v>
      </c>
      <c r="B4" s="19" t="s">
        <v>104</v>
      </c>
      <c r="C4" s="18">
        <v>9.5</v>
      </c>
      <c r="D4" s="20">
        <v>0.85</v>
      </c>
      <c r="E4" s="20">
        <f t="shared" si="0"/>
        <v>70.588235294117652</v>
      </c>
      <c r="F4" s="18">
        <v>70</v>
      </c>
      <c r="G4" s="21">
        <f t="shared" si="1"/>
        <v>665</v>
      </c>
      <c r="H4" s="18">
        <v>855</v>
      </c>
      <c r="I4" s="20">
        <f t="shared" si="2"/>
        <v>12.112499999999999</v>
      </c>
      <c r="J4" s="20">
        <f t="shared" si="3"/>
        <v>1.2749999999999999</v>
      </c>
      <c r="K4" s="20">
        <v>3</v>
      </c>
      <c r="L4" s="20">
        <f t="shared" si="4"/>
        <v>1.2857142857142856</v>
      </c>
      <c r="M4" s="19" t="s">
        <v>117</v>
      </c>
      <c r="N4" s="19" t="s">
        <v>12</v>
      </c>
      <c r="O4" s="18" t="s">
        <v>40</v>
      </c>
      <c r="P4" s="22" t="s">
        <v>50</v>
      </c>
      <c r="Q4" s="19">
        <v>80</v>
      </c>
      <c r="R4" s="19">
        <v>75</v>
      </c>
      <c r="S4" s="7">
        <f t="shared" si="5"/>
        <v>11.4</v>
      </c>
      <c r="T4" s="7">
        <f t="shared" si="6"/>
        <v>1.2</v>
      </c>
      <c r="U4" s="2">
        <f t="shared" si="7"/>
        <v>0.8</v>
      </c>
    </row>
    <row r="5" spans="1:21" ht="25" customHeight="1" x14ac:dyDescent="0.35">
      <c r="A5" s="18">
        <v>5</v>
      </c>
      <c r="B5" s="19" t="s">
        <v>105</v>
      </c>
      <c r="C5" s="18">
        <v>9.5</v>
      </c>
      <c r="D5" s="20">
        <v>0.54</v>
      </c>
      <c r="E5" s="20">
        <f t="shared" si="0"/>
        <v>111.1111111111111</v>
      </c>
      <c r="F5" s="18">
        <v>111</v>
      </c>
      <c r="G5" s="21">
        <f t="shared" si="1"/>
        <v>1054.5</v>
      </c>
      <c r="H5" s="18">
        <v>855</v>
      </c>
      <c r="I5" s="20">
        <f t="shared" si="2"/>
        <v>7.6950000000000012</v>
      </c>
      <c r="J5" s="20">
        <f t="shared" si="3"/>
        <v>0.81000000000000016</v>
      </c>
      <c r="K5" s="20">
        <v>2</v>
      </c>
      <c r="L5" s="20">
        <f t="shared" si="4"/>
        <v>0.81081081081081086</v>
      </c>
      <c r="M5" s="19" t="s">
        <v>117</v>
      </c>
      <c r="N5" s="19" t="s">
        <v>106</v>
      </c>
      <c r="O5" s="22" t="s">
        <v>41</v>
      </c>
      <c r="P5" s="22" t="s">
        <v>50</v>
      </c>
      <c r="Q5" s="19">
        <v>85</v>
      </c>
      <c r="R5" s="19">
        <v>100</v>
      </c>
      <c r="S5" s="7">
        <f t="shared" si="5"/>
        <v>8.5500000000000007</v>
      </c>
      <c r="T5" s="7">
        <f t="shared" si="6"/>
        <v>0.9</v>
      </c>
      <c r="U5" s="2">
        <f t="shared" si="7"/>
        <v>0.6</v>
      </c>
    </row>
    <row r="6" spans="1:21" ht="25" customHeight="1" x14ac:dyDescent="0.35">
      <c r="A6" s="18">
        <v>6</v>
      </c>
      <c r="B6" s="19" t="s">
        <v>107</v>
      </c>
      <c r="C6" s="18">
        <v>9.5</v>
      </c>
      <c r="D6" s="20">
        <v>0.8</v>
      </c>
      <c r="E6" s="20">
        <f t="shared" si="0"/>
        <v>75</v>
      </c>
      <c r="F6" s="18">
        <v>60</v>
      </c>
      <c r="G6" s="21">
        <f t="shared" si="1"/>
        <v>570</v>
      </c>
      <c r="H6" s="18">
        <v>855</v>
      </c>
      <c r="I6" s="20">
        <f t="shared" si="2"/>
        <v>11.4</v>
      </c>
      <c r="J6" s="20">
        <f t="shared" si="3"/>
        <v>1.2</v>
      </c>
      <c r="K6" s="20">
        <v>3</v>
      </c>
      <c r="L6" s="20">
        <f t="shared" si="4"/>
        <v>1.5</v>
      </c>
      <c r="M6" s="19" t="s">
        <v>117</v>
      </c>
      <c r="N6" s="19" t="s">
        <v>12</v>
      </c>
      <c r="O6" s="18" t="s">
        <v>40</v>
      </c>
      <c r="P6" s="22" t="s">
        <v>50</v>
      </c>
      <c r="Q6" s="19">
        <v>85</v>
      </c>
      <c r="R6" s="19">
        <v>80</v>
      </c>
      <c r="S6" s="7">
        <f t="shared" si="5"/>
        <v>10.6875</v>
      </c>
      <c r="T6" s="7">
        <f t="shared" si="6"/>
        <v>1.125</v>
      </c>
      <c r="U6" s="2">
        <f t="shared" si="7"/>
        <v>0.75</v>
      </c>
    </row>
    <row r="7" spans="1:21" ht="25" customHeight="1" x14ac:dyDescent="0.35">
      <c r="A7" s="18">
        <v>7</v>
      </c>
      <c r="B7" s="18" t="s">
        <v>108</v>
      </c>
      <c r="C7" s="18">
        <v>9.5</v>
      </c>
      <c r="D7" s="20">
        <v>1</v>
      </c>
      <c r="E7" s="23">
        <f t="shared" si="0"/>
        <v>60</v>
      </c>
      <c r="F7" s="24">
        <v>60</v>
      </c>
      <c r="G7" s="21">
        <f t="shared" si="1"/>
        <v>570</v>
      </c>
      <c r="H7" s="18">
        <v>855</v>
      </c>
      <c r="I7" s="20">
        <f t="shared" si="2"/>
        <v>14.25</v>
      </c>
      <c r="J7" s="20">
        <f t="shared" si="3"/>
        <v>1.5</v>
      </c>
      <c r="K7" s="20">
        <v>4</v>
      </c>
      <c r="L7" s="20">
        <f t="shared" si="4"/>
        <v>1.5</v>
      </c>
      <c r="M7" s="19" t="s">
        <v>117</v>
      </c>
      <c r="N7" s="19" t="s">
        <v>14</v>
      </c>
      <c r="O7" s="18" t="s">
        <v>41</v>
      </c>
      <c r="P7" s="22" t="s">
        <v>50</v>
      </c>
      <c r="Q7" s="19" t="s">
        <v>54</v>
      </c>
      <c r="R7" s="19" t="s">
        <v>182</v>
      </c>
      <c r="S7" s="7" t="str">
        <f t="shared" si="5"/>
        <v xml:space="preserve"> </v>
      </c>
      <c r="T7" s="7" t="str">
        <f t="shared" si="6"/>
        <v xml:space="preserve"> </v>
      </c>
      <c r="U7" s="2"/>
    </row>
    <row r="8" spans="1:21" ht="25" customHeight="1" x14ac:dyDescent="0.35">
      <c r="A8" s="18">
        <v>8</v>
      </c>
      <c r="B8" s="19" t="s">
        <v>109</v>
      </c>
      <c r="C8" s="18">
        <v>9.5</v>
      </c>
      <c r="D8" s="20">
        <v>0.54</v>
      </c>
      <c r="E8" s="20">
        <f t="shared" si="0"/>
        <v>111.1111111111111</v>
      </c>
      <c r="F8" s="18">
        <v>111</v>
      </c>
      <c r="G8" s="21">
        <f t="shared" si="1"/>
        <v>1054.5</v>
      </c>
      <c r="H8" s="18">
        <v>855</v>
      </c>
      <c r="I8" s="20">
        <f t="shared" si="2"/>
        <v>7.6950000000000012</v>
      </c>
      <c r="J8" s="20">
        <f t="shared" si="3"/>
        <v>0.81000000000000016</v>
      </c>
      <c r="K8" s="20">
        <v>2</v>
      </c>
      <c r="L8" s="20">
        <f t="shared" si="4"/>
        <v>0.81081081081081086</v>
      </c>
      <c r="M8" s="19" t="s">
        <v>117</v>
      </c>
      <c r="N8" s="19" t="s">
        <v>12</v>
      </c>
      <c r="O8" s="18" t="s">
        <v>40</v>
      </c>
      <c r="P8" s="22" t="s">
        <v>50</v>
      </c>
      <c r="Q8" s="19" t="s">
        <v>54</v>
      </c>
      <c r="R8" s="19" t="s">
        <v>182</v>
      </c>
      <c r="S8" s="7" t="str">
        <f t="shared" si="5"/>
        <v xml:space="preserve"> </v>
      </c>
      <c r="T8" s="7" t="str">
        <f t="shared" si="6"/>
        <v xml:space="preserve"> </v>
      </c>
      <c r="U8" s="2"/>
    </row>
    <row r="9" spans="1:21" ht="25" customHeight="1" x14ac:dyDescent="0.35">
      <c r="A9" s="18">
        <v>9</v>
      </c>
      <c r="B9" s="18" t="s">
        <v>110</v>
      </c>
      <c r="C9" s="18">
        <v>9.5</v>
      </c>
      <c r="D9" s="20">
        <v>0.6</v>
      </c>
      <c r="E9" s="20">
        <f t="shared" si="0"/>
        <v>100</v>
      </c>
      <c r="F9" s="25">
        <v>80</v>
      </c>
      <c r="G9" s="21">
        <f t="shared" si="1"/>
        <v>760</v>
      </c>
      <c r="H9" s="18">
        <v>855</v>
      </c>
      <c r="I9" s="20">
        <f t="shared" si="2"/>
        <v>8.5500000000000007</v>
      </c>
      <c r="J9" s="20">
        <f t="shared" si="3"/>
        <v>0.9</v>
      </c>
      <c r="K9" s="20">
        <v>4</v>
      </c>
      <c r="L9" s="20">
        <f t="shared" si="4"/>
        <v>1.125</v>
      </c>
      <c r="M9" s="19" t="s">
        <v>117</v>
      </c>
      <c r="N9" s="19" t="s">
        <v>116</v>
      </c>
      <c r="O9" s="22" t="s">
        <v>40</v>
      </c>
      <c r="P9" s="22" t="s">
        <v>50</v>
      </c>
      <c r="Q9" s="19">
        <v>85</v>
      </c>
      <c r="R9" s="19">
        <v>95</v>
      </c>
      <c r="S9" s="7">
        <f t="shared" si="5"/>
        <v>9</v>
      </c>
      <c r="T9" s="7">
        <f t="shared" si="6"/>
        <v>0.94736842105263153</v>
      </c>
      <c r="U9" s="2">
        <f t="shared" si="7"/>
        <v>0.63157894736842102</v>
      </c>
    </row>
    <row r="10" spans="1:21" ht="25" customHeight="1" x14ac:dyDescent="0.35">
      <c r="A10" s="18">
        <v>10</v>
      </c>
      <c r="B10" s="19" t="s">
        <v>111</v>
      </c>
      <c r="C10" s="18">
        <v>9.5</v>
      </c>
      <c r="D10" s="20">
        <v>0.85</v>
      </c>
      <c r="E10" s="20">
        <f t="shared" si="0"/>
        <v>70.588235294117652</v>
      </c>
      <c r="F10" s="18">
        <v>70</v>
      </c>
      <c r="G10" s="21">
        <f t="shared" si="1"/>
        <v>665</v>
      </c>
      <c r="H10" s="18">
        <v>855</v>
      </c>
      <c r="I10" s="20">
        <f t="shared" si="2"/>
        <v>12.112499999999999</v>
      </c>
      <c r="J10" s="20">
        <f t="shared" si="3"/>
        <v>1.2749999999999999</v>
      </c>
      <c r="K10" s="20">
        <v>3</v>
      </c>
      <c r="L10" s="20">
        <f t="shared" si="4"/>
        <v>1.2857142857142856</v>
      </c>
      <c r="M10" s="19" t="s">
        <v>117</v>
      </c>
      <c r="N10" s="19" t="s">
        <v>12</v>
      </c>
      <c r="O10" s="18" t="s">
        <v>40</v>
      </c>
      <c r="P10" s="22" t="s">
        <v>50</v>
      </c>
      <c r="Q10" s="19">
        <v>75</v>
      </c>
      <c r="R10" s="19">
        <v>70</v>
      </c>
      <c r="S10" s="7">
        <f t="shared" si="5"/>
        <v>12.214285714285714</v>
      </c>
      <c r="T10" s="7">
        <f t="shared" si="6"/>
        <v>1.2857142857142856</v>
      </c>
      <c r="U10" s="2">
        <f t="shared" si="7"/>
        <v>0.8571428571428571</v>
      </c>
    </row>
    <row r="11" spans="1:21" ht="25" customHeight="1" x14ac:dyDescent="0.35">
      <c r="A11" s="18">
        <v>11</v>
      </c>
      <c r="B11" s="19" t="s">
        <v>112</v>
      </c>
      <c r="C11" s="18">
        <v>9.5</v>
      </c>
      <c r="D11" s="20">
        <v>0.54</v>
      </c>
      <c r="E11" s="20">
        <f t="shared" si="0"/>
        <v>111.1111111111111</v>
      </c>
      <c r="F11" s="18">
        <v>100</v>
      </c>
      <c r="G11" s="21">
        <f t="shared" si="1"/>
        <v>950</v>
      </c>
      <c r="H11" s="18">
        <v>855</v>
      </c>
      <c r="I11" s="20">
        <f t="shared" si="2"/>
        <v>7.6950000000000012</v>
      </c>
      <c r="J11" s="20">
        <f t="shared" si="3"/>
        <v>0.81000000000000016</v>
      </c>
      <c r="K11" s="20">
        <v>3</v>
      </c>
      <c r="L11" s="20">
        <f t="shared" si="4"/>
        <v>0.9</v>
      </c>
      <c r="M11" s="19" t="s">
        <v>117</v>
      </c>
      <c r="N11" s="19" t="s">
        <v>113</v>
      </c>
      <c r="O11" s="22" t="s">
        <v>41</v>
      </c>
      <c r="P11" s="22" t="s">
        <v>50</v>
      </c>
      <c r="Q11" s="19">
        <v>80</v>
      </c>
      <c r="R11" s="19">
        <v>100</v>
      </c>
      <c r="S11" s="7">
        <f t="shared" si="5"/>
        <v>8.5500000000000007</v>
      </c>
      <c r="T11" s="7">
        <f t="shared" si="6"/>
        <v>0.9</v>
      </c>
      <c r="U11" s="2">
        <f t="shared" si="7"/>
        <v>0.6</v>
      </c>
    </row>
    <row r="12" spans="1:21" ht="25" customHeight="1" x14ac:dyDescent="0.35">
      <c r="A12" s="18">
        <v>12</v>
      </c>
      <c r="B12" s="18" t="s">
        <v>114</v>
      </c>
      <c r="C12" s="18">
        <v>9.5</v>
      </c>
      <c r="D12" s="20">
        <v>0.5</v>
      </c>
      <c r="E12" s="20">
        <f t="shared" si="0"/>
        <v>120</v>
      </c>
      <c r="F12" s="24">
        <v>100</v>
      </c>
      <c r="G12" s="21">
        <f t="shared" si="1"/>
        <v>950</v>
      </c>
      <c r="H12" s="18">
        <v>855</v>
      </c>
      <c r="I12" s="20">
        <f t="shared" si="2"/>
        <v>7.125</v>
      </c>
      <c r="J12" s="20">
        <f t="shared" si="3"/>
        <v>0.75</v>
      </c>
      <c r="K12" s="20">
        <v>2</v>
      </c>
      <c r="L12" s="20">
        <f t="shared" si="4"/>
        <v>0.9</v>
      </c>
      <c r="M12" s="19" t="s">
        <v>117</v>
      </c>
      <c r="N12" s="19" t="s">
        <v>115</v>
      </c>
      <c r="O12" s="26" t="s">
        <v>39</v>
      </c>
      <c r="P12" s="22" t="s">
        <v>50</v>
      </c>
      <c r="Q12" s="19" t="s">
        <v>54</v>
      </c>
      <c r="R12" s="19">
        <v>110</v>
      </c>
      <c r="S12" s="7">
        <f t="shared" si="5"/>
        <v>7.7727272727272725</v>
      </c>
      <c r="T12" s="7">
        <f t="shared" si="6"/>
        <v>0.81818181818181812</v>
      </c>
      <c r="U12" s="2">
        <f t="shared" si="7"/>
        <v>0.54545454545454541</v>
      </c>
    </row>
    <row r="13" spans="1:21" x14ac:dyDescent="0.35">
      <c r="C13" s="17"/>
      <c r="J13" s="2">
        <f>SUM(J2:J12)</f>
        <v>10.770000000000001</v>
      </c>
      <c r="L13" s="2">
        <f>SUM(L2:L12)</f>
        <v>11.568050193050194</v>
      </c>
      <c r="T13" s="2">
        <f>SUM(T2:T12)</f>
        <v>8.5736329460013661</v>
      </c>
    </row>
  </sheetData>
  <pageMargins left="0.7" right="0.7" top="0.75" bottom="0.75" header="0.3" footer="0.3"/>
  <pageSetup scale="36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EFC91-A385-431D-AC90-10FB4E121C58}">
  <sheetPr>
    <tabColor theme="9" tint="0.79998168889431442"/>
    <pageSetUpPr fitToPage="1"/>
  </sheetPr>
  <dimension ref="A1:U10"/>
  <sheetViews>
    <sheetView zoomScale="85" zoomScaleNormal="85" workbookViewId="0">
      <pane xSplit="7" ySplit="1" topLeftCell="K2" activePane="bottomRight" state="frozen"/>
      <selection pane="topRight" activeCell="H1" sqref="H1"/>
      <selection pane="bottomLeft" activeCell="A2" sqref="A2"/>
      <selection pane="bottomRight" activeCell="M2" sqref="M2:M9"/>
    </sheetView>
  </sheetViews>
  <sheetFormatPr baseColWidth="10" defaultColWidth="11.453125" defaultRowHeight="14.5" x14ac:dyDescent="0.35"/>
  <cols>
    <col min="1" max="1" width="3.26953125" style="1" bestFit="1" customWidth="1"/>
    <col min="2" max="2" width="26.36328125" style="1" bestFit="1" customWidth="1"/>
    <col min="3" max="3" width="8.1796875" style="1" customWidth="1"/>
    <col min="4" max="4" width="6.90625" style="1" bestFit="1" customWidth="1"/>
    <col min="5" max="5" width="7.36328125" style="1" bestFit="1" customWidth="1"/>
    <col min="6" max="6" width="7" style="1" bestFit="1" customWidth="1"/>
    <col min="7" max="7" width="13.1796875" style="1" bestFit="1" customWidth="1"/>
    <col min="8" max="8" width="12.1796875" style="1" bestFit="1" customWidth="1"/>
    <col min="9" max="9" width="11" style="1" bestFit="1" customWidth="1"/>
    <col min="10" max="10" width="13.6328125" style="1" bestFit="1" customWidth="1"/>
    <col min="11" max="11" width="10" style="1" bestFit="1" customWidth="1"/>
    <col min="12" max="12" width="13.6328125" style="1" bestFit="1" customWidth="1"/>
    <col min="13" max="13" width="8.36328125" style="1" bestFit="1" customWidth="1"/>
    <col min="14" max="14" width="19.7265625" style="1" bestFit="1" customWidth="1"/>
    <col min="15" max="15" width="12.36328125" style="1" bestFit="1" customWidth="1"/>
    <col min="16" max="16" width="13.81640625" style="1" bestFit="1" customWidth="1"/>
    <col min="17" max="17" width="12.26953125" style="1" bestFit="1" customWidth="1"/>
    <col min="18" max="18" width="21.90625" style="1" bestFit="1" customWidth="1"/>
    <col min="19" max="19" width="11" style="1" bestFit="1" customWidth="1"/>
    <col min="20" max="20" width="13.6328125" style="1" bestFit="1" customWidth="1"/>
    <col min="21" max="16384" width="11.453125" style="1"/>
  </cols>
  <sheetData>
    <row r="1" spans="1:21" x14ac:dyDescent="0.35">
      <c r="A1" s="18" t="s">
        <v>42</v>
      </c>
      <c r="B1" s="19" t="s">
        <v>1</v>
      </c>
      <c r="C1" s="19" t="s">
        <v>43</v>
      </c>
      <c r="D1" s="19" t="s">
        <v>2</v>
      </c>
      <c r="E1" s="19" t="s">
        <v>3</v>
      </c>
      <c r="F1" s="19" t="s">
        <v>53</v>
      </c>
      <c r="G1" s="19" t="s">
        <v>44</v>
      </c>
      <c r="H1" s="19" t="s">
        <v>45</v>
      </c>
      <c r="I1" s="19" t="s">
        <v>46</v>
      </c>
      <c r="J1" s="19" t="s">
        <v>47</v>
      </c>
      <c r="K1" s="19" t="s">
        <v>4</v>
      </c>
      <c r="L1" s="19" t="s">
        <v>61</v>
      </c>
      <c r="M1" s="19" t="s">
        <v>37</v>
      </c>
      <c r="N1" s="19" t="s">
        <v>38</v>
      </c>
      <c r="O1" s="19" t="s">
        <v>48</v>
      </c>
      <c r="P1" s="19" t="s">
        <v>49</v>
      </c>
      <c r="Q1" s="19" t="s">
        <v>51</v>
      </c>
      <c r="R1" s="19" t="s">
        <v>196</v>
      </c>
      <c r="S1" s="19" t="s">
        <v>46</v>
      </c>
      <c r="T1" s="19" t="s">
        <v>47</v>
      </c>
      <c r="U1" s="1" t="s">
        <v>202</v>
      </c>
    </row>
    <row r="2" spans="1:21" ht="25" customHeight="1" x14ac:dyDescent="0.35">
      <c r="A2" s="18">
        <v>1</v>
      </c>
      <c r="B2" s="19" t="s">
        <v>118</v>
      </c>
      <c r="C2" s="19">
        <v>9.5</v>
      </c>
      <c r="D2" s="20">
        <v>0.5</v>
      </c>
      <c r="E2" s="20">
        <f t="shared" ref="E2:E9" si="0">60/D2</f>
        <v>120</v>
      </c>
      <c r="F2" s="18">
        <v>110</v>
      </c>
      <c r="G2" s="21">
        <f>F2*C2</f>
        <v>1045</v>
      </c>
      <c r="H2" s="18">
        <v>855</v>
      </c>
      <c r="I2" s="20">
        <f>+H2/E2</f>
        <v>7.125</v>
      </c>
      <c r="J2" s="20">
        <f>I2/C2</f>
        <v>0.75</v>
      </c>
      <c r="K2" s="21">
        <v>1</v>
      </c>
      <c r="L2" s="20">
        <f>IFERROR(((H2/F2)/$C$2)," ")</f>
        <v>0.81818181818181812</v>
      </c>
      <c r="M2" s="19" t="s">
        <v>130</v>
      </c>
      <c r="N2" s="19" t="s">
        <v>12</v>
      </c>
      <c r="O2" s="22" t="s">
        <v>40</v>
      </c>
      <c r="P2" s="22" t="s">
        <v>50</v>
      </c>
      <c r="Q2" s="19">
        <v>160</v>
      </c>
      <c r="R2" s="13">
        <v>135</v>
      </c>
      <c r="S2" s="7">
        <f>IFERROR((H2/R2)," ")</f>
        <v>6.333333333333333</v>
      </c>
      <c r="T2" s="7">
        <f>IFERROR((S2/$C$2)," ")</f>
        <v>0.66666666666666663</v>
      </c>
      <c r="U2" s="2">
        <f>60/R2</f>
        <v>0.44444444444444442</v>
      </c>
    </row>
    <row r="3" spans="1:21" ht="25" customHeight="1" x14ac:dyDescent="0.35">
      <c r="A3" s="18">
        <v>2</v>
      </c>
      <c r="B3" s="19" t="s">
        <v>119</v>
      </c>
      <c r="C3" s="19">
        <v>9.5</v>
      </c>
      <c r="D3" s="20">
        <v>0.54</v>
      </c>
      <c r="E3" s="20">
        <f t="shared" si="0"/>
        <v>111.1111111111111</v>
      </c>
      <c r="F3" s="18"/>
      <c r="G3" s="21">
        <f t="shared" ref="G3:G9" si="1">F3*C3</f>
        <v>0</v>
      </c>
      <c r="H3" s="18">
        <v>855</v>
      </c>
      <c r="I3" s="20">
        <f t="shared" ref="I3:I9" si="2">+H3/E3</f>
        <v>7.6950000000000012</v>
      </c>
      <c r="J3" s="20">
        <f t="shared" ref="J3:J9" si="3">I3/C3</f>
        <v>0.81000000000000016</v>
      </c>
      <c r="K3" s="21">
        <v>1</v>
      </c>
      <c r="L3" s="20" t="str">
        <f t="shared" ref="L3:L9" si="4">IFERROR(((H3/F3)/$C$2)," ")</f>
        <v xml:space="preserve"> </v>
      </c>
      <c r="M3" s="19" t="s">
        <v>130</v>
      </c>
      <c r="N3" s="19" t="s">
        <v>120</v>
      </c>
      <c r="O3" s="22" t="s">
        <v>40</v>
      </c>
      <c r="P3" s="22" t="s">
        <v>50</v>
      </c>
      <c r="Q3" s="19" t="s">
        <v>54</v>
      </c>
      <c r="R3" s="13" t="s">
        <v>58</v>
      </c>
      <c r="S3" s="7" t="str">
        <f t="shared" ref="S3:S9" si="5">IFERROR((H3/R3)," ")</f>
        <v xml:space="preserve"> </v>
      </c>
      <c r="T3" s="7" t="str">
        <f t="shared" ref="T3:T9" si="6">IFERROR((S3/$C$2)," ")</f>
        <v xml:space="preserve"> </v>
      </c>
      <c r="U3" s="2"/>
    </row>
    <row r="4" spans="1:21" ht="25" customHeight="1" x14ac:dyDescent="0.35">
      <c r="A4" s="18">
        <v>3</v>
      </c>
      <c r="B4" s="19" t="s">
        <v>121</v>
      </c>
      <c r="C4" s="19">
        <v>9.5</v>
      </c>
      <c r="D4" s="20">
        <v>0.54</v>
      </c>
      <c r="E4" s="20">
        <f t="shared" si="0"/>
        <v>111.1111111111111</v>
      </c>
      <c r="F4" s="18">
        <v>110</v>
      </c>
      <c r="G4" s="21">
        <f t="shared" si="1"/>
        <v>1045</v>
      </c>
      <c r="H4" s="18">
        <v>855</v>
      </c>
      <c r="I4" s="20">
        <f t="shared" si="2"/>
        <v>7.6950000000000012</v>
      </c>
      <c r="J4" s="20">
        <f t="shared" si="3"/>
        <v>0.81000000000000016</v>
      </c>
      <c r="K4" s="21">
        <v>1</v>
      </c>
      <c r="L4" s="20">
        <f t="shared" si="4"/>
        <v>0.81818181818181812</v>
      </c>
      <c r="M4" s="19" t="s">
        <v>130</v>
      </c>
      <c r="N4" s="19" t="s">
        <v>12</v>
      </c>
      <c r="O4" s="22" t="s">
        <v>40</v>
      </c>
      <c r="P4" s="22" t="s">
        <v>50</v>
      </c>
      <c r="Q4" s="19">
        <v>160</v>
      </c>
      <c r="R4" s="13">
        <v>135</v>
      </c>
      <c r="S4" s="7">
        <f t="shared" si="5"/>
        <v>6.333333333333333</v>
      </c>
      <c r="T4" s="7">
        <f t="shared" si="6"/>
        <v>0.66666666666666663</v>
      </c>
      <c r="U4" s="2">
        <f t="shared" ref="U4:U9" si="7">60/R4</f>
        <v>0.44444444444444442</v>
      </c>
    </row>
    <row r="5" spans="1:21" ht="25" customHeight="1" x14ac:dyDescent="0.35">
      <c r="A5" s="18">
        <v>16</v>
      </c>
      <c r="B5" s="19" t="s">
        <v>122</v>
      </c>
      <c r="C5" s="19">
        <v>9.5</v>
      </c>
      <c r="D5" s="20">
        <v>0.7</v>
      </c>
      <c r="E5" s="20">
        <f t="shared" si="0"/>
        <v>85.714285714285722</v>
      </c>
      <c r="F5" s="18">
        <v>90</v>
      </c>
      <c r="G5" s="21">
        <f t="shared" si="1"/>
        <v>855</v>
      </c>
      <c r="H5" s="18">
        <v>855</v>
      </c>
      <c r="I5" s="20">
        <f t="shared" si="2"/>
        <v>9.9749999999999996</v>
      </c>
      <c r="J5" s="20">
        <f t="shared" si="3"/>
        <v>1.05</v>
      </c>
      <c r="K5" s="21">
        <v>1</v>
      </c>
      <c r="L5" s="20">
        <f t="shared" si="4"/>
        <v>1</v>
      </c>
      <c r="M5" s="19" t="s">
        <v>130</v>
      </c>
      <c r="N5" s="19" t="s">
        <v>123</v>
      </c>
      <c r="O5" s="22" t="s">
        <v>40</v>
      </c>
      <c r="P5" s="22" t="s">
        <v>50</v>
      </c>
      <c r="Q5" s="19">
        <v>160</v>
      </c>
      <c r="R5" s="13">
        <v>135</v>
      </c>
      <c r="S5" s="7">
        <f t="shared" si="5"/>
        <v>6.333333333333333</v>
      </c>
      <c r="T5" s="7">
        <f t="shared" si="6"/>
        <v>0.66666666666666663</v>
      </c>
      <c r="U5" s="2">
        <f t="shared" si="7"/>
        <v>0.44444444444444442</v>
      </c>
    </row>
    <row r="6" spans="1:21" ht="25" customHeight="1" x14ac:dyDescent="0.35">
      <c r="A6" s="18">
        <v>17</v>
      </c>
      <c r="B6" s="19" t="s">
        <v>124</v>
      </c>
      <c r="C6" s="19">
        <v>9.5</v>
      </c>
      <c r="D6" s="20">
        <v>0.5</v>
      </c>
      <c r="E6" s="20">
        <f t="shared" si="0"/>
        <v>120</v>
      </c>
      <c r="F6" s="18">
        <v>95</v>
      </c>
      <c r="G6" s="21">
        <f t="shared" si="1"/>
        <v>902.5</v>
      </c>
      <c r="H6" s="18">
        <v>855</v>
      </c>
      <c r="I6" s="20">
        <f t="shared" si="2"/>
        <v>7.125</v>
      </c>
      <c r="J6" s="20">
        <f t="shared" si="3"/>
        <v>0.75</v>
      </c>
      <c r="K6" s="21">
        <v>1</v>
      </c>
      <c r="L6" s="20">
        <f t="shared" si="4"/>
        <v>0.94736842105263153</v>
      </c>
      <c r="M6" s="19" t="s">
        <v>130</v>
      </c>
      <c r="N6" s="19" t="s">
        <v>12</v>
      </c>
      <c r="O6" s="22" t="s">
        <v>40</v>
      </c>
      <c r="P6" s="22" t="s">
        <v>50</v>
      </c>
      <c r="Q6" s="19">
        <v>160</v>
      </c>
      <c r="R6" s="13">
        <v>135</v>
      </c>
      <c r="S6" s="7">
        <f t="shared" si="5"/>
        <v>6.333333333333333</v>
      </c>
      <c r="T6" s="7">
        <f t="shared" si="6"/>
        <v>0.66666666666666663</v>
      </c>
      <c r="U6" s="2">
        <f t="shared" si="7"/>
        <v>0.44444444444444442</v>
      </c>
    </row>
    <row r="7" spans="1:21" ht="25" customHeight="1" x14ac:dyDescent="0.35">
      <c r="A7" s="18">
        <v>18</v>
      </c>
      <c r="B7" s="19" t="s">
        <v>125</v>
      </c>
      <c r="C7" s="19">
        <v>9.5</v>
      </c>
      <c r="D7" s="20">
        <v>0.54</v>
      </c>
      <c r="E7" s="20">
        <f t="shared" si="0"/>
        <v>111.1111111111111</v>
      </c>
      <c r="F7" s="18">
        <v>110</v>
      </c>
      <c r="G7" s="21">
        <f t="shared" si="1"/>
        <v>1045</v>
      </c>
      <c r="H7" s="18">
        <v>855</v>
      </c>
      <c r="I7" s="20">
        <f t="shared" si="2"/>
        <v>7.6950000000000012</v>
      </c>
      <c r="J7" s="20">
        <f t="shared" si="3"/>
        <v>0.81000000000000016</v>
      </c>
      <c r="K7" s="21">
        <v>1</v>
      </c>
      <c r="L7" s="20">
        <f t="shared" si="4"/>
        <v>0.81818181818181812</v>
      </c>
      <c r="M7" s="19" t="s">
        <v>130</v>
      </c>
      <c r="N7" s="19" t="s">
        <v>126</v>
      </c>
      <c r="O7" s="22" t="s">
        <v>41</v>
      </c>
      <c r="P7" s="22" t="s">
        <v>50</v>
      </c>
      <c r="Q7" s="19">
        <v>100</v>
      </c>
      <c r="R7" s="13">
        <v>120</v>
      </c>
      <c r="S7" s="7">
        <f t="shared" si="5"/>
        <v>7.125</v>
      </c>
      <c r="T7" s="7">
        <f t="shared" si="6"/>
        <v>0.75</v>
      </c>
      <c r="U7" s="2">
        <f t="shared" si="7"/>
        <v>0.5</v>
      </c>
    </row>
    <row r="8" spans="1:21" ht="25" customHeight="1" x14ac:dyDescent="0.35">
      <c r="A8" s="18">
        <v>19</v>
      </c>
      <c r="B8" s="19" t="s">
        <v>127</v>
      </c>
      <c r="C8" s="19">
        <v>9.5</v>
      </c>
      <c r="D8" s="20">
        <v>0.5</v>
      </c>
      <c r="E8" s="20">
        <f t="shared" si="0"/>
        <v>120</v>
      </c>
      <c r="F8" s="18">
        <v>120</v>
      </c>
      <c r="G8" s="21">
        <f t="shared" si="1"/>
        <v>1140</v>
      </c>
      <c r="H8" s="18">
        <v>855</v>
      </c>
      <c r="I8" s="20">
        <f t="shared" si="2"/>
        <v>7.125</v>
      </c>
      <c r="J8" s="20">
        <f t="shared" si="3"/>
        <v>0.75</v>
      </c>
      <c r="K8" s="21">
        <v>1</v>
      </c>
      <c r="L8" s="20">
        <f t="shared" si="4"/>
        <v>0.75</v>
      </c>
      <c r="M8" s="19" t="s">
        <v>130</v>
      </c>
      <c r="N8" s="19"/>
      <c r="O8" s="22" t="s">
        <v>39</v>
      </c>
      <c r="P8" s="22" t="s">
        <v>50</v>
      </c>
      <c r="Q8" s="19" t="s">
        <v>54</v>
      </c>
      <c r="R8" s="13" t="s">
        <v>59</v>
      </c>
      <c r="S8" s="7" t="str">
        <f t="shared" si="5"/>
        <v xml:space="preserve"> </v>
      </c>
      <c r="T8" s="7" t="str">
        <f t="shared" si="6"/>
        <v xml:space="preserve"> </v>
      </c>
      <c r="U8" s="2"/>
    </row>
    <row r="9" spans="1:21" ht="25" customHeight="1" x14ac:dyDescent="0.35">
      <c r="A9" s="25">
        <v>20</v>
      </c>
      <c r="B9" s="27" t="s">
        <v>128</v>
      </c>
      <c r="C9" s="19">
        <v>9.5</v>
      </c>
      <c r="D9" s="23">
        <v>0.5</v>
      </c>
      <c r="E9" s="23">
        <f t="shared" si="0"/>
        <v>120</v>
      </c>
      <c r="F9" s="25">
        <v>110</v>
      </c>
      <c r="G9" s="21">
        <f t="shared" si="1"/>
        <v>1045</v>
      </c>
      <c r="H9" s="18">
        <v>855</v>
      </c>
      <c r="I9" s="20">
        <f t="shared" si="2"/>
        <v>7.125</v>
      </c>
      <c r="J9" s="20">
        <f t="shared" si="3"/>
        <v>0.75</v>
      </c>
      <c r="K9" s="21">
        <v>1</v>
      </c>
      <c r="L9" s="20">
        <f t="shared" si="4"/>
        <v>0.81818181818181812</v>
      </c>
      <c r="M9" s="19" t="s">
        <v>130</v>
      </c>
      <c r="N9" s="27" t="s">
        <v>129</v>
      </c>
      <c r="O9" s="28" t="s">
        <v>39</v>
      </c>
      <c r="P9" s="22" t="s">
        <v>50</v>
      </c>
      <c r="Q9" s="19">
        <v>160</v>
      </c>
      <c r="R9" s="13">
        <v>135</v>
      </c>
      <c r="S9" s="7">
        <f t="shared" si="5"/>
        <v>6.333333333333333</v>
      </c>
      <c r="T9" s="7">
        <f t="shared" si="6"/>
        <v>0.66666666666666663</v>
      </c>
      <c r="U9" s="2">
        <f t="shared" si="7"/>
        <v>0.44444444444444442</v>
      </c>
    </row>
    <row r="10" spans="1:21" x14ac:dyDescent="0.35">
      <c r="J10" s="2">
        <f>SUM(J2:J9)</f>
        <v>6.48</v>
      </c>
      <c r="L10" s="2">
        <f>SUM(L2:L9)</f>
        <v>5.9700956937799043</v>
      </c>
      <c r="T10" s="2">
        <f>SUM(T2:T9)</f>
        <v>4.083333333333333</v>
      </c>
    </row>
  </sheetData>
  <pageMargins left="0.7" right="0.7" top="0.75" bottom="0.75" header="0.3" footer="0.3"/>
  <pageSetup scale="3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7DC9A-2800-4605-B230-92727226428B}">
  <sheetPr>
    <tabColor theme="4" tint="0.79998168889431442"/>
    <pageSetUpPr fitToPage="1"/>
  </sheetPr>
  <dimension ref="A1:U20"/>
  <sheetViews>
    <sheetView zoomScale="85" zoomScaleNormal="85" workbookViewId="0">
      <pane xSplit="7" ySplit="1" topLeftCell="P2" activePane="bottomRight" state="frozen"/>
      <selection pane="topRight" activeCell="H1" sqref="H1"/>
      <selection pane="bottomLeft" activeCell="A2" sqref="A2"/>
      <selection pane="bottomRight" activeCell="S35" sqref="S35"/>
    </sheetView>
  </sheetViews>
  <sheetFormatPr baseColWidth="10" defaultColWidth="11.453125" defaultRowHeight="14.5" x14ac:dyDescent="0.35"/>
  <cols>
    <col min="1" max="1" width="3.7265625" style="1" customWidth="1"/>
    <col min="2" max="2" width="28.36328125" style="1" bestFit="1" customWidth="1"/>
    <col min="3" max="3" width="8.90625" style="1" bestFit="1" customWidth="1"/>
    <col min="4" max="4" width="7.1796875" style="1" bestFit="1" customWidth="1"/>
    <col min="5" max="6" width="7.54296875" style="1" bestFit="1" customWidth="1"/>
    <col min="7" max="7" width="14" style="1" bestFit="1" customWidth="1"/>
    <col min="8" max="8" width="12.90625" style="1" bestFit="1" customWidth="1"/>
    <col min="9" max="9" width="11.81640625" style="1" bestFit="1" customWidth="1"/>
    <col min="10" max="10" width="14.7265625" style="1" bestFit="1" customWidth="1"/>
    <col min="11" max="11" width="10.90625" style="1" bestFit="1" customWidth="1"/>
    <col min="12" max="12" width="14.7265625" style="1" bestFit="1" customWidth="1"/>
    <col min="13" max="13" width="10.81640625" style="1" bestFit="1" customWidth="1"/>
    <col min="14" max="14" width="27.453125" style="1" bestFit="1" customWidth="1"/>
    <col min="15" max="15" width="13.1796875" style="1" bestFit="1" customWidth="1"/>
    <col min="16" max="16" width="14.81640625" style="1" bestFit="1" customWidth="1"/>
    <col min="17" max="17" width="13.1796875" style="1" bestFit="1" customWidth="1"/>
    <col min="18" max="18" width="23.36328125" style="1" bestFit="1" customWidth="1"/>
    <col min="19" max="19" width="11.81640625" style="1" bestFit="1" customWidth="1"/>
    <col min="20" max="20" width="14.7265625" style="1" bestFit="1" customWidth="1"/>
    <col min="21" max="16384" width="11.453125" style="1"/>
  </cols>
  <sheetData>
    <row r="1" spans="1:21" ht="15.5" x14ac:dyDescent="0.35">
      <c r="A1" s="5" t="s">
        <v>42</v>
      </c>
      <c r="B1" s="3" t="s">
        <v>1</v>
      </c>
      <c r="C1" s="3" t="s">
        <v>43</v>
      </c>
      <c r="D1" s="3" t="s">
        <v>2</v>
      </c>
      <c r="E1" s="3" t="s">
        <v>3</v>
      </c>
      <c r="F1" s="3" t="s">
        <v>53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</v>
      </c>
      <c r="L1" s="3" t="s">
        <v>61</v>
      </c>
      <c r="M1" s="3" t="s">
        <v>37</v>
      </c>
      <c r="N1" s="3" t="s">
        <v>38</v>
      </c>
      <c r="O1" s="3" t="s">
        <v>48</v>
      </c>
      <c r="P1" s="3" t="s">
        <v>49</v>
      </c>
      <c r="Q1" s="3" t="s">
        <v>51</v>
      </c>
      <c r="R1" s="3" t="s">
        <v>196</v>
      </c>
      <c r="S1" s="3" t="s">
        <v>46</v>
      </c>
      <c r="T1" s="3" t="s">
        <v>47</v>
      </c>
      <c r="U1" s="1" t="s">
        <v>195</v>
      </c>
    </row>
    <row r="2" spans="1:21" ht="15.5" x14ac:dyDescent="0.35">
      <c r="A2" s="5">
        <v>1</v>
      </c>
      <c r="B2" s="5" t="s">
        <v>132</v>
      </c>
      <c r="C2" s="5">
        <v>9.5</v>
      </c>
      <c r="D2" s="7">
        <v>1</v>
      </c>
      <c r="E2" s="7">
        <f t="shared" ref="E2:E19" si="0">60/D2</f>
        <v>60</v>
      </c>
      <c r="F2" s="6">
        <v>60</v>
      </c>
      <c r="G2" s="6">
        <f>F2*C2</f>
        <v>570</v>
      </c>
      <c r="H2" s="5">
        <v>855</v>
      </c>
      <c r="I2" s="7">
        <f>+H2/E2</f>
        <v>14.25</v>
      </c>
      <c r="J2" s="7">
        <f>I2/C2</f>
        <v>1.5</v>
      </c>
      <c r="K2" s="6">
        <v>2</v>
      </c>
      <c r="L2" s="7">
        <f>IFERROR(((H2/F2)/$C$2)," ")</f>
        <v>1.5</v>
      </c>
      <c r="M2" s="5" t="s">
        <v>131</v>
      </c>
      <c r="N2" s="5" t="s">
        <v>12</v>
      </c>
      <c r="O2" s="5" t="s">
        <v>40</v>
      </c>
      <c r="P2" s="4" t="s">
        <v>50</v>
      </c>
      <c r="Q2" s="13">
        <v>85</v>
      </c>
      <c r="R2" s="46">
        <v>70</v>
      </c>
      <c r="S2" s="7">
        <f>IFERROR((H2/R2)," ")</f>
        <v>12.214285714285714</v>
      </c>
      <c r="T2" s="7">
        <f>IFERROR((S2/$C$2)," ")</f>
        <v>1.2857142857142856</v>
      </c>
      <c r="U2" s="2">
        <f>60/R2</f>
        <v>0.8571428571428571</v>
      </c>
    </row>
    <row r="3" spans="1:21" ht="15.5" x14ac:dyDescent="0.35">
      <c r="A3" s="5">
        <v>2</v>
      </c>
      <c r="B3" s="5" t="s">
        <v>133</v>
      </c>
      <c r="C3" s="5">
        <v>9.5</v>
      </c>
      <c r="D3" s="7">
        <v>0.54</v>
      </c>
      <c r="E3" s="7">
        <f t="shared" si="0"/>
        <v>111.1111111111111</v>
      </c>
      <c r="F3" s="6">
        <v>110</v>
      </c>
      <c r="G3" s="6">
        <f t="shared" ref="G3:G19" si="1">F3*C3</f>
        <v>1045</v>
      </c>
      <c r="H3" s="5">
        <v>855</v>
      </c>
      <c r="I3" s="7">
        <f>+H3/E3</f>
        <v>7.6950000000000012</v>
      </c>
      <c r="J3" s="7">
        <f t="shared" ref="J3:J19" si="2">I3/C3</f>
        <v>0.81000000000000016</v>
      </c>
      <c r="K3" s="6">
        <v>1</v>
      </c>
      <c r="L3" s="7">
        <f t="shared" ref="L3:L19" si="3">IFERROR(((H3/F3)/$C$2)," ")</f>
        <v>0.81818181818181812</v>
      </c>
      <c r="M3" s="5" t="s">
        <v>131</v>
      </c>
      <c r="N3" s="5" t="s">
        <v>16</v>
      </c>
      <c r="O3" s="5" t="s">
        <v>39</v>
      </c>
      <c r="P3" s="4" t="s">
        <v>50</v>
      </c>
      <c r="Q3" s="13" t="s">
        <v>54</v>
      </c>
      <c r="R3" s="46">
        <v>120</v>
      </c>
      <c r="S3" s="7">
        <f t="shared" ref="S3:S19" si="4">IFERROR((H3/R3)," ")</f>
        <v>7.125</v>
      </c>
      <c r="T3" s="7">
        <f t="shared" ref="T3:T19" si="5">IFERROR((S3/$C$2)," ")</f>
        <v>0.75</v>
      </c>
      <c r="U3" s="2">
        <f t="shared" ref="U3:U19" si="6">60/R3</f>
        <v>0.5</v>
      </c>
    </row>
    <row r="4" spans="1:21" ht="15.5" x14ac:dyDescent="0.35">
      <c r="A4" s="5">
        <v>3</v>
      </c>
      <c r="B4" s="5" t="s">
        <v>134</v>
      </c>
      <c r="C4" s="5">
        <v>9.5</v>
      </c>
      <c r="D4" s="7">
        <v>0.75</v>
      </c>
      <c r="E4" s="7">
        <f t="shared" si="0"/>
        <v>80</v>
      </c>
      <c r="F4" s="6">
        <v>80</v>
      </c>
      <c r="G4" s="6">
        <f t="shared" si="1"/>
        <v>760</v>
      </c>
      <c r="H4" s="5">
        <v>855</v>
      </c>
      <c r="I4" s="7">
        <f t="shared" ref="I4:I19" si="7">+H4/E4</f>
        <v>10.6875</v>
      </c>
      <c r="J4" s="7">
        <f t="shared" si="2"/>
        <v>1.125</v>
      </c>
      <c r="K4" s="6">
        <v>1</v>
      </c>
      <c r="L4" s="7">
        <f t="shared" si="3"/>
        <v>1.125</v>
      </c>
      <c r="M4" s="5" t="s">
        <v>131</v>
      </c>
      <c r="N4" s="5" t="s">
        <v>14</v>
      </c>
      <c r="O4" s="5" t="s">
        <v>41</v>
      </c>
      <c r="P4" s="4" t="s">
        <v>50</v>
      </c>
      <c r="Q4" s="13">
        <v>90</v>
      </c>
      <c r="R4" s="46">
        <v>90</v>
      </c>
      <c r="S4" s="7">
        <f t="shared" si="4"/>
        <v>9.5</v>
      </c>
      <c r="T4" s="7">
        <f t="shared" si="5"/>
        <v>1</v>
      </c>
      <c r="U4" s="2">
        <f t="shared" si="6"/>
        <v>0.66666666666666663</v>
      </c>
    </row>
    <row r="5" spans="1:21" ht="15.5" x14ac:dyDescent="0.35">
      <c r="A5" s="5">
        <v>4</v>
      </c>
      <c r="B5" s="5" t="s">
        <v>135</v>
      </c>
      <c r="C5" s="5">
        <v>9.5</v>
      </c>
      <c r="D5" s="7">
        <v>0.75</v>
      </c>
      <c r="E5" s="7">
        <f t="shared" si="0"/>
        <v>80</v>
      </c>
      <c r="F5" s="6">
        <v>90</v>
      </c>
      <c r="G5" s="6">
        <f t="shared" si="1"/>
        <v>855</v>
      </c>
      <c r="H5" s="5">
        <v>855</v>
      </c>
      <c r="I5" s="7">
        <f t="shared" si="7"/>
        <v>10.6875</v>
      </c>
      <c r="J5" s="7">
        <f t="shared" si="2"/>
        <v>1.125</v>
      </c>
      <c r="K5" s="6">
        <v>1</v>
      </c>
      <c r="L5" s="7">
        <f t="shared" si="3"/>
        <v>1</v>
      </c>
      <c r="M5" s="5" t="s">
        <v>131</v>
      </c>
      <c r="N5" s="5" t="s">
        <v>27</v>
      </c>
      <c r="O5" s="5" t="s">
        <v>41</v>
      </c>
      <c r="P5" s="4" t="s">
        <v>50</v>
      </c>
      <c r="Q5" s="13">
        <v>80</v>
      </c>
      <c r="R5" s="46">
        <v>90</v>
      </c>
      <c r="S5" s="7">
        <f t="shared" si="4"/>
        <v>9.5</v>
      </c>
      <c r="T5" s="7">
        <f t="shared" si="5"/>
        <v>1</v>
      </c>
      <c r="U5" s="2">
        <f t="shared" si="6"/>
        <v>0.66666666666666663</v>
      </c>
    </row>
    <row r="6" spans="1:21" ht="15.5" x14ac:dyDescent="0.35">
      <c r="A6" s="5">
        <v>5</v>
      </c>
      <c r="B6" s="5" t="s">
        <v>183</v>
      </c>
      <c r="C6" s="5">
        <v>9.5</v>
      </c>
      <c r="D6" s="7">
        <v>0.65</v>
      </c>
      <c r="E6" s="7">
        <f t="shared" si="0"/>
        <v>92.307692307692307</v>
      </c>
      <c r="F6" s="6">
        <v>111</v>
      </c>
      <c r="G6" s="6">
        <f t="shared" si="1"/>
        <v>1054.5</v>
      </c>
      <c r="H6" s="5">
        <v>855</v>
      </c>
      <c r="I6" s="7">
        <f t="shared" si="7"/>
        <v>9.2624999999999993</v>
      </c>
      <c r="J6" s="7">
        <f t="shared" si="2"/>
        <v>0.97499999999999998</v>
      </c>
      <c r="K6" s="6">
        <v>1</v>
      </c>
      <c r="L6" s="7">
        <f t="shared" si="3"/>
        <v>0.81081081081081086</v>
      </c>
      <c r="M6" s="5" t="s">
        <v>131</v>
      </c>
      <c r="N6" s="5" t="s">
        <v>10</v>
      </c>
      <c r="O6" s="5" t="s">
        <v>40</v>
      </c>
      <c r="P6" s="4" t="s">
        <v>50</v>
      </c>
      <c r="Q6" s="13">
        <v>85</v>
      </c>
      <c r="R6" s="46">
        <v>110</v>
      </c>
      <c r="S6" s="7">
        <f t="shared" si="4"/>
        <v>7.7727272727272725</v>
      </c>
      <c r="T6" s="7">
        <f t="shared" si="5"/>
        <v>0.81818181818181812</v>
      </c>
      <c r="U6" s="2">
        <f t="shared" si="6"/>
        <v>0.54545454545454541</v>
      </c>
    </row>
    <row r="7" spans="1:21" ht="15.5" x14ac:dyDescent="0.35">
      <c r="A7" s="5">
        <v>6</v>
      </c>
      <c r="B7" s="5" t="s">
        <v>136</v>
      </c>
      <c r="C7" s="5">
        <v>9.5</v>
      </c>
      <c r="D7" s="7">
        <v>0.54</v>
      </c>
      <c r="E7" s="7">
        <f t="shared" si="0"/>
        <v>111.1111111111111</v>
      </c>
      <c r="F7" s="6">
        <v>110</v>
      </c>
      <c r="G7" s="6">
        <f t="shared" si="1"/>
        <v>1045</v>
      </c>
      <c r="H7" s="5">
        <v>855</v>
      </c>
      <c r="I7" s="7">
        <f t="shared" si="7"/>
        <v>7.6950000000000012</v>
      </c>
      <c r="J7" s="7">
        <f t="shared" si="2"/>
        <v>0.81000000000000016</v>
      </c>
      <c r="K7" s="6">
        <v>1</v>
      </c>
      <c r="L7" s="7">
        <f t="shared" si="3"/>
        <v>0.81818181818181812</v>
      </c>
      <c r="M7" s="5" t="s">
        <v>131</v>
      </c>
      <c r="N7" s="5" t="s">
        <v>14</v>
      </c>
      <c r="O7" s="5" t="s">
        <v>41</v>
      </c>
      <c r="P7" s="4" t="s">
        <v>50</v>
      </c>
      <c r="Q7" s="13">
        <v>100</v>
      </c>
      <c r="R7" s="46">
        <v>110</v>
      </c>
      <c r="S7" s="7">
        <f t="shared" si="4"/>
        <v>7.7727272727272725</v>
      </c>
      <c r="T7" s="7">
        <f t="shared" si="5"/>
        <v>0.81818181818181812</v>
      </c>
      <c r="U7" s="2">
        <f t="shared" si="6"/>
        <v>0.54545454545454541</v>
      </c>
    </row>
    <row r="8" spans="1:21" ht="15.5" x14ac:dyDescent="0.35">
      <c r="A8" s="5">
        <v>7</v>
      </c>
      <c r="B8" s="5" t="s">
        <v>137</v>
      </c>
      <c r="C8" s="5">
        <v>9.5</v>
      </c>
      <c r="D8" s="7">
        <v>0.54</v>
      </c>
      <c r="E8" s="7">
        <f t="shared" si="0"/>
        <v>111.1111111111111</v>
      </c>
      <c r="F8" s="6">
        <v>110</v>
      </c>
      <c r="G8" s="6">
        <f t="shared" si="1"/>
        <v>1045</v>
      </c>
      <c r="H8" s="5">
        <v>855</v>
      </c>
      <c r="I8" s="7">
        <f t="shared" si="7"/>
        <v>7.6950000000000012</v>
      </c>
      <c r="J8" s="7">
        <f t="shared" si="2"/>
        <v>0.81000000000000016</v>
      </c>
      <c r="K8" s="6">
        <v>1</v>
      </c>
      <c r="L8" s="7">
        <f t="shared" si="3"/>
        <v>0.81818181818181812</v>
      </c>
      <c r="M8" s="5" t="s">
        <v>131</v>
      </c>
      <c r="N8" s="5" t="s">
        <v>12</v>
      </c>
      <c r="O8" s="5" t="s">
        <v>40</v>
      </c>
      <c r="P8" s="4" t="s">
        <v>50</v>
      </c>
      <c r="Q8" s="13">
        <v>100</v>
      </c>
      <c r="R8" s="46">
        <v>110</v>
      </c>
      <c r="S8" s="7">
        <f t="shared" si="4"/>
        <v>7.7727272727272725</v>
      </c>
      <c r="T8" s="7">
        <f t="shared" si="5"/>
        <v>0.81818181818181812</v>
      </c>
      <c r="U8" s="2">
        <f t="shared" si="6"/>
        <v>0.54545454545454541</v>
      </c>
    </row>
    <row r="9" spans="1:21" ht="15.5" x14ac:dyDescent="0.35">
      <c r="A9" s="5">
        <v>8</v>
      </c>
      <c r="B9" s="5" t="s">
        <v>138</v>
      </c>
      <c r="C9" s="5">
        <v>9.5</v>
      </c>
      <c r="D9" s="7">
        <v>0.54</v>
      </c>
      <c r="E9" s="7">
        <f t="shared" si="0"/>
        <v>111.1111111111111</v>
      </c>
      <c r="F9" s="6">
        <v>110</v>
      </c>
      <c r="G9" s="6">
        <f t="shared" si="1"/>
        <v>1045</v>
      </c>
      <c r="H9" s="5">
        <v>855</v>
      </c>
      <c r="I9" s="7">
        <f t="shared" si="7"/>
        <v>7.6950000000000012</v>
      </c>
      <c r="J9" s="7">
        <f t="shared" si="2"/>
        <v>0.81000000000000016</v>
      </c>
      <c r="K9" s="6">
        <v>1</v>
      </c>
      <c r="L9" s="7">
        <f t="shared" si="3"/>
        <v>0.81818181818181812</v>
      </c>
      <c r="M9" s="5" t="s">
        <v>131</v>
      </c>
      <c r="N9" s="5" t="s">
        <v>97</v>
      </c>
      <c r="O9" s="5" t="s">
        <v>40</v>
      </c>
      <c r="P9" s="4" t="s">
        <v>50</v>
      </c>
      <c r="Q9" s="13" t="s">
        <v>184</v>
      </c>
      <c r="R9" s="46">
        <v>110</v>
      </c>
      <c r="S9" s="7">
        <f t="shared" si="4"/>
        <v>7.7727272727272725</v>
      </c>
      <c r="T9" s="7">
        <f t="shared" si="5"/>
        <v>0.81818181818181812</v>
      </c>
      <c r="U9" s="2">
        <f t="shared" si="6"/>
        <v>0.54545454545454541</v>
      </c>
    </row>
    <row r="10" spans="1:21" ht="15.5" x14ac:dyDescent="0.35">
      <c r="A10" s="5">
        <v>9</v>
      </c>
      <c r="B10" s="5" t="s">
        <v>139</v>
      </c>
      <c r="C10" s="5">
        <v>9.5</v>
      </c>
      <c r="D10" s="7">
        <v>0.5</v>
      </c>
      <c r="E10" s="7">
        <f t="shared" si="0"/>
        <v>120</v>
      </c>
      <c r="F10" s="6">
        <v>120</v>
      </c>
      <c r="G10" s="6">
        <f t="shared" si="1"/>
        <v>1140</v>
      </c>
      <c r="H10" s="5">
        <v>855</v>
      </c>
      <c r="I10" s="7">
        <f t="shared" si="7"/>
        <v>7.125</v>
      </c>
      <c r="J10" s="7">
        <f t="shared" si="2"/>
        <v>0.75</v>
      </c>
      <c r="K10" s="6">
        <v>1</v>
      </c>
      <c r="L10" s="7">
        <f t="shared" si="3"/>
        <v>0.75</v>
      </c>
      <c r="M10" s="5" t="s">
        <v>131</v>
      </c>
      <c r="N10" s="5" t="s">
        <v>16</v>
      </c>
      <c r="O10" s="5" t="s">
        <v>39</v>
      </c>
      <c r="P10" s="4" t="s">
        <v>50</v>
      </c>
      <c r="Q10" s="13">
        <v>100</v>
      </c>
      <c r="R10" s="46">
        <v>120</v>
      </c>
      <c r="S10" s="7">
        <f t="shared" si="4"/>
        <v>7.125</v>
      </c>
      <c r="T10" s="7">
        <f t="shared" si="5"/>
        <v>0.75</v>
      </c>
      <c r="U10" s="2">
        <f t="shared" si="6"/>
        <v>0.5</v>
      </c>
    </row>
    <row r="11" spans="1:21" ht="15.5" x14ac:dyDescent="0.35">
      <c r="A11" s="5">
        <v>10</v>
      </c>
      <c r="B11" s="5" t="s">
        <v>96</v>
      </c>
      <c r="C11" s="5">
        <v>9.5</v>
      </c>
      <c r="D11" s="7">
        <v>2</v>
      </c>
      <c r="E11" s="7">
        <f t="shared" si="0"/>
        <v>30</v>
      </c>
      <c r="F11" s="6">
        <v>30</v>
      </c>
      <c r="G11" s="6">
        <f t="shared" si="1"/>
        <v>285</v>
      </c>
      <c r="H11" s="5">
        <v>855</v>
      </c>
      <c r="I11" s="7">
        <f t="shared" si="7"/>
        <v>28.5</v>
      </c>
      <c r="J11" s="7">
        <f t="shared" si="2"/>
        <v>3</v>
      </c>
      <c r="K11" s="6">
        <v>3</v>
      </c>
      <c r="L11" s="7">
        <f t="shared" si="3"/>
        <v>3</v>
      </c>
      <c r="M11" s="5" t="s">
        <v>131</v>
      </c>
      <c r="N11" s="5" t="s">
        <v>140</v>
      </c>
      <c r="O11" s="18" t="s">
        <v>40</v>
      </c>
      <c r="P11" s="4" t="s">
        <v>50</v>
      </c>
      <c r="Q11" s="13">
        <v>30</v>
      </c>
      <c r="R11" s="46">
        <v>30</v>
      </c>
      <c r="S11" s="7">
        <f t="shared" si="4"/>
        <v>28.5</v>
      </c>
      <c r="T11" s="7">
        <f t="shared" si="5"/>
        <v>3</v>
      </c>
      <c r="U11" s="2">
        <f t="shared" si="6"/>
        <v>2</v>
      </c>
    </row>
    <row r="12" spans="1:21" ht="15" customHeight="1" x14ac:dyDescent="0.35">
      <c r="A12" s="5">
        <v>11</v>
      </c>
      <c r="B12" s="5" t="s">
        <v>141</v>
      </c>
      <c r="C12" s="5">
        <v>9.5</v>
      </c>
      <c r="D12" s="7">
        <v>0.66</v>
      </c>
      <c r="E12" s="7">
        <f t="shared" si="0"/>
        <v>90.909090909090907</v>
      </c>
      <c r="F12" s="10">
        <v>90</v>
      </c>
      <c r="G12" s="6">
        <f t="shared" si="1"/>
        <v>855</v>
      </c>
      <c r="H12" s="5">
        <v>855</v>
      </c>
      <c r="I12" s="7">
        <f t="shared" si="7"/>
        <v>9.4050000000000011</v>
      </c>
      <c r="J12" s="7">
        <f t="shared" si="2"/>
        <v>0.9900000000000001</v>
      </c>
      <c r="K12" s="6">
        <v>1</v>
      </c>
      <c r="L12" s="7">
        <f t="shared" si="3"/>
        <v>1</v>
      </c>
      <c r="M12" s="5" t="s">
        <v>131</v>
      </c>
      <c r="N12" s="5" t="s">
        <v>142</v>
      </c>
      <c r="O12" s="5" t="s">
        <v>41</v>
      </c>
      <c r="P12" s="4" t="s">
        <v>50</v>
      </c>
      <c r="Q12" s="13">
        <v>88</v>
      </c>
      <c r="R12" s="46">
        <v>100</v>
      </c>
      <c r="S12" s="7">
        <f t="shared" si="4"/>
        <v>8.5500000000000007</v>
      </c>
      <c r="T12" s="7">
        <f t="shared" si="5"/>
        <v>0.9</v>
      </c>
      <c r="U12" s="2">
        <f t="shared" si="6"/>
        <v>0.6</v>
      </c>
    </row>
    <row r="13" spans="1:21" ht="15.5" x14ac:dyDescent="0.35">
      <c r="A13" s="5">
        <v>12</v>
      </c>
      <c r="B13" s="5" t="s">
        <v>143</v>
      </c>
      <c r="C13" s="5">
        <v>9.5</v>
      </c>
      <c r="D13" s="7">
        <v>0.8</v>
      </c>
      <c r="E13" s="7">
        <f t="shared" si="0"/>
        <v>75</v>
      </c>
      <c r="F13" s="10">
        <v>90</v>
      </c>
      <c r="G13" s="6">
        <f t="shared" si="1"/>
        <v>855</v>
      </c>
      <c r="H13" s="5">
        <v>855</v>
      </c>
      <c r="I13" s="7">
        <f t="shared" si="7"/>
        <v>11.4</v>
      </c>
      <c r="J13" s="7">
        <f t="shared" si="2"/>
        <v>1.2</v>
      </c>
      <c r="K13" s="6">
        <v>2</v>
      </c>
      <c r="L13" s="7">
        <f t="shared" si="3"/>
        <v>1</v>
      </c>
      <c r="M13" s="5" t="s">
        <v>131</v>
      </c>
      <c r="N13" s="5" t="s">
        <v>97</v>
      </c>
      <c r="O13" s="5" t="s">
        <v>40</v>
      </c>
      <c r="P13" s="4" t="s">
        <v>50</v>
      </c>
      <c r="Q13" s="13">
        <v>90</v>
      </c>
      <c r="R13" s="46">
        <v>90</v>
      </c>
      <c r="S13" s="7">
        <f t="shared" si="4"/>
        <v>9.5</v>
      </c>
      <c r="T13" s="7">
        <f t="shared" si="5"/>
        <v>1</v>
      </c>
      <c r="U13" s="2">
        <f t="shared" si="6"/>
        <v>0.66666666666666663</v>
      </c>
    </row>
    <row r="14" spans="1:21" ht="15.5" x14ac:dyDescent="0.35">
      <c r="A14" s="5">
        <v>13</v>
      </c>
      <c r="B14" s="5" t="s">
        <v>144</v>
      </c>
      <c r="C14" s="5">
        <v>9.5</v>
      </c>
      <c r="D14" s="7">
        <v>1</v>
      </c>
      <c r="E14" s="7">
        <f t="shared" si="0"/>
        <v>60</v>
      </c>
      <c r="F14" s="6">
        <v>50</v>
      </c>
      <c r="G14" s="6">
        <f t="shared" si="1"/>
        <v>475</v>
      </c>
      <c r="H14" s="5">
        <v>855</v>
      </c>
      <c r="I14" s="7">
        <f t="shared" si="7"/>
        <v>14.25</v>
      </c>
      <c r="J14" s="7">
        <f t="shared" si="2"/>
        <v>1.5</v>
      </c>
      <c r="K14" s="6">
        <v>2</v>
      </c>
      <c r="L14" s="7">
        <f t="shared" si="3"/>
        <v>1.8</v>
      </c>
      <c r="M14" s="5" t="s">
        <v>131</v>
      </c>
      <c r="N14" s="5" t="s">
        <v>145</v>
      </c>
      <c r="O14" s="18" t="s">
        <v>40</v>
      </c>
      <c r="P14" s="4" t="s">
        <v>50</v>
      </c>
      <c r="Q14" s="13">
        <v>68</v>
      </c>
      <c r="R14" s="46">
        <v>65</v>
      </c>
      <c r="S14" s="7">
        <f t="shared" si="4"/>
        <v>13.153846153846153</v>
      </c>
      <c r="T14" s="7">
        <f t="shared" si="5"/>
        <v>1.3846153846153846</v>
      </c>
      <c r="U14" s="2">
        <f t="shared" si="6"/>
        <v>0.92307692307692313</v>
      </c>
    </row>
    <row r="15" spans="1:21" ht="15.5" x14ac:dyDescent="0.35">
      <c r="A15" s="5">
        <v>15</v>
      </c>
      <c r="B15" s="5" t="s">
        <v>146</v>
      </c>
      <c r="C15" s="5">
        <v>9.5</v>
      </c>
      <c r="D15" s="7">
        <v>0.54</v>
      </c>
      <c r="E15" s="7">
        <f t="shared" si="0"/>
        <v>111.1111111111111</v>
      </c>
      <c r="F15" s="6">
        <v>100</v>
      </c>
      <c r="G15" s="6">
        <f t="shared" si="1"/>
        <v>950</v>
      </c>
      <c r="H15" s="5">
        <v>855</v>
      </c>
      <c r="I15" s="7">
        <f t="shared" si="7"/>
        <v>7.6950000000000012</v>
      </c>
      <c r="J15" s="7">
        <f t="shared" si="2"/>
        <v>0.81000000000000016</v>
      </c>
      <c r="K15" s="6">
        <v>1</v>
      </c>
      <c r="L15" s="7">
        <f t="shared" si="3"/>
        <v>0.9</v>
      </c>
      <c r="M15" s="5" t="s">
        <v>131</v>
      </c>
      <c r="N15" s="5" t="s">
        <v>16</v>
      </c>
      <c r="O15" s="5" t="s">
        <v>39</v>
      </c>
      <c r="P15" s="4" t="s">
        <v>50</v>
      </c>
      <c r="Q15" s="13">
        <v>170</v>
      </c>
      <c r="R15" s="46">
        <v>120</v>
      </c>
      <c r="S15" s="7">
        <f t="shared" si="4"/>
        <v>7.125</v>
      </c>
      <c r="T15" s="7">
        <f t="shared" si="5"/>
        <v>0.75</v>
      </c>
      <c r="U15" s="2">
        <f t="shared" si="6"/>
        <v>0.5</v>
      </c>
    </row>
    <row r="16" spans="1:21" ht="15.5" x14ac:dyDescent="0.35">
      <c r="A16" s="5">
        <v>16</v>
      </c>
      <c r="B16" s="5" t="s">
        <v>150</v>
      </c>
      <c r="C16" s="5">
        <v>9.5</v>
      </c>
      <c r="D16" s="7">
        <v>1.1000000000000001</v>
      </c>
      <c r="E16" s="7">
        <f t="shared" si="0"/>
        <v>54.54545454545454</v>
      </c>
      <c r="F16" s="6">
        <v>52</v>
      </c>
      <c r="G16" s="6">
        <f t="shared" si="1"/>
        <v>494</v>
      </c>
      <c r="H16" s="5">
        <v>855</v>
      </c>
      <c r="I16" s="7">
        <f t="shared" si="7"/>
        <v>15.675000000000002</v>
      </c>
      <c r="J16" s="7">
        <f t="shared" si="2"/>
        <v>1.6500000000000004</v>
      </c>
      <c r="K16" s="6">
        <v>2</v>
      </c>
      <c r="L16" s="7">
        <f t="shared" si="3"/>
        <v>1.7307692307692308</v>
      </c>
      <c r="M16" s="5" t="s">
        <v>131</v>
      </c>
      <c r="N16" s="5" t="s">
        <v>147</v>
      </c>
      <c r="O16" s="5" t="s">
        <v>40</v>
      </c>
      <c r="P16" s="4" t="s">
        <v>50</v>
      </c>
      <c r="Q16" s="13">
        <v>82</v>
      </c>
      <c r="R16" s="46">
        <v>65</v>
      </c>
      <c r="S16" s="7">
        <f t="shared" si="4"/>
        <v>13.153846153846153</v>
      </c>
      <c r="T16" s="7">
        <f t="shared" si="5"/>
        <v>1.3846153846153846</v>
      </c>
      <c r="U16" s="2">
        <f t="shared" si="6"/>
        <v>0.92307692307692313</v>
      </c>
    </row>
    <row r="17" spans="1:21" ht="15.5" x14ac:dyDescent="0.35">
      <c r="A17" s="5">
        <v>17</v>
      </c>
      <c r="B17" s="5" t="s">
        <v>148</v>
      </c>
      <c r="C17" s="5">
        <v>9.5</v>
      </c>
      <c r="D17" s="7">
        <v>0.75</v>
      </c>
      <c r="E17" s="7">
        <f t="shared" si="0"/>
        <v>80</v>
      </c>
      <c r="F17" s="10">
        <v>90</v>
      </c>
      <c r="G17" s="6">
        <f t="shared" si="1"/>
        <v>855</v>
      </c>
      <c r="H17" s="5">
        <v>855</v>
      </c>
      <c r="I17" s="7">
        <f t="shared" si="7"/>
        <v>10.6875</v>
      </c>
      <c r="J17" s="7">
        <f t="shared" si="2"/>
        <v>1.125</v>
      </c>
      <c r="K17" s="6">
        <v>2</v>
      </c>
      <c r="L17" s="7">
        <f t="shared" si="3"/>
        <v>1</v>
      </c>
      <c r="M17" s="5" t="s">
        <v>131</v>
      </c>
      <c r="N17" s="5" t="s">
        <v>189</v>
      </c>
      <c r="O17" s="5" t="s">
        <v>40</v>
      </c>
      <c r="P17" s="4" t="s">
        <v>50</v>
      </c>
      <c r="Q17" s="13">
        <v>85</v>
      </c>
      <c r="R17" s="46">
        <v>90</v>
      </c>
      <c r="S17" s="7">
        <f t="shared" si="4"/>
        <v>9.5</v>
      </c>
      <c r="T17" s="7">
        <f t="shared" si="5"/>
        <v>1</v>
      </c>
      <c r="U17" s="2">
        <f t="shared" si="6"/>
        <v>0.66666666666666663</v>
      </c>
    </row>
    <row r="18" spans="1:21" ht="15.5" x14ac:dyDescent="0.35">
      <c r="A18" s="5">
        <v>18</v>
      </c>
      <c r="B18" s="5" t="s">
        <v>149</v>
      </c>
      <c r="C18" s="5">
        <v>9.5</v>
      </c>
      <c r="D18" s="7">
        <v>0.63</v>
      </c>
      <c r="E18" s="7">
        <f t="shared" si="0"/>
        <v>95.238095238095241</v>
      </c>
      <c r="F18" s="10">
        <v>90</v>
      </c>
      <c r="G18" s="6">
        <f t="shared" si="1"/>
        <v>855</v>
      </c>
      <c r="H18" s="5">
        <v>855</v>
      </c>
      <c r="I18" s="7">
        <f t="shared" si="7"/>
        <v>8.9774999999999991</v>
      </c>
      <c r="J18" s="7">
        <f t="shared" si="2"/>
        <v>0.94499999999999995</v>
      </c>
      <c r="K18" s="6">
        <v>1</v>
      </c>
      <c r="L18" s="7">
        <f t="shared" si="3"/>
        <v>1</v>
      </c>
      <c r="M18" s="5" t="s">
        <v>131</v>
      </c>
      <c r="N18" s="5" t="s">
        <v>16</v>
      </c>
      <c r="O18" s="5" t="s">
        <v>39</v>
      </c>
      <c r="P18" s="4" t="s">
        <v>50</v>
      </c>
      <c r="Q18" s="13">
        <v>85</v>
      </c>
      <c r="R18" s="46">
        <v>95</v>
      </c>
      <c r="S18" s="7">
        <f t="shared" si="4"/>
        <v>9</v>
      </c>
      <c r="T18" s="7">
        <f t="shared" si="5"/>
        <v>0.94736842105263153</v>
      </c>
      <c r="U18" s="2">
        <f t="shared" si="6"/>
        <v>0.63157894736842102</v>
      </c>
    </row>
    <row r="19" spans="1:21" ht="15.5" x14ac:dyDescent="0.35">
      <c r="A19" s="5">
        <v>19</v>
      </c>
      <c r="B19" s="5" t="s">
        <v>185</v>
      </c>
      <c r="C19" s="5">
        <v>9.5</v>
      </c>
      <c r="D19" s="7">
        <v>1.0900000000000001</v>
      </c>
      <c r="E19" s="7">
        <f t="shared" si="0"/>
        <v>55.045871559633021</v>
      </c>
      <c r="F19" s="10">
        <v>55</v>
      </c>
      <c r="G19" s="6">
        <f t="shared" si="1"/>
        <v>522.5</v>
      </c>
      <c r="H19" s="5">
        <v>855</v>
      </c>
      <c r="I19" s="7">
        <f t="shared" si="7"/>
        <v>15.532500000000002</v>
      </c>
      <c r="J19" s="7">
        <f t="shared" si="2"/>
        <v>1.6350000000000002</v>
      </c>
      <c r="K19" s="6">
        <v>2</v>
      </c>
      <c r="L19" s="7">
        <f t="shared" si="3"/>
        <v>1.6363636363636362</v>
      </c>
      <c r="M19" s="5" t="s">
        <v>131</v>
      </c>
      <c r="N19" s="5" t="s">
        <v>12</v>
      </c>
      <c r="O19" s="5" t="s">
        <v>40</v>
      </c>
      <c r="P19" s="4" t="s">
        <v>50</v>
      </c>
      <c r="Q19" s="13">
        <v>85</v>
      </c>
      <c r="R19" s="46">
        <v>65</v>
      </c>
      <c r="S19" s="7">
        <f t="shared" si="4"/>
        <v>13.153846153846153</v>
      </c>
      <c r="T19" s="7">
        <f t="shared" si="5"/>
        <v>1.3846153846153846</v>
      </c>
      <c r="U19" s="2">
        <f t="shared" si="6"/>
        <v>0.92307692307692313</v>
      </c>
    </row>
    <row r="20" spans="1:21" x14ac:dyDescent="0.35">
      <c r="I20" s="2"/>
      <c r="J20" s="2">
        <f>SUM(J2:J19)</f>
        <v>21.570000000000004</v>
      </c>
      <c r="L20" s="2">
        <f>SUM(L2:L19)</f>
        <v>21.52567095067095</v>
      </c>
      <c r="T20" s="2">
        <f>SUM(T2:T19)</f>
        <v>19.80965613334034</v>
      </c>
    </row>
  </sheetData>
  <pageMargins left="0.7" right="0.7" top="0.75" bottom="0.75" header="0.3" footer="0.3"/>
  <pageSetup scale="3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5825-A48E-41E1-92D7-8515DC397A2F}">
  <sheetPr>
    <tabColor theme="4" tint="0.79998168889431442"/>
  </sheetPr>
  <dimension ref="A1:U22"/>
  <sheetViews>
    <sheetView topLeftCell="B1" zoomScale="80" zoomScaleNormal="80" workbookViewId="0">
      <pane xSplit="6" ySplit="1" topLeftCell="M2" activePane="bottomRight" state="frozen"/>
      <selection activeCell="B1" sqref="B1"/>
      <selection pane="topRight" activeCell="H1" sqref="H1"/>
      <selection pane="bottomLeft" activeCell="B2" sqref="B2"/>
      <selection pane="bottomRight" activeCell="S2" sqref="S2:T2"/>
    </sheetView>
  </sheetViews>
  <sheetFormatPr baseColWidth="10" defaultColWidth="11.453125" defaultRowHeight="14.5" x14ac:dyDescent="0.35"/>
  <cols>
    <col min="1" max="1" width="3.26953125" style="1" bestFit="1" customWidth="1"/>
    <col min="2" max="2" width="38.08984375" style="1" bestFit="1" customWidth="1"/>
    <col min="3" max="3" width="8.1796875" style="1" bestFit="1" customWidth="1"/>
    <col min="4" max="4" width="6.90625" style="1" bestFit="1" customWidth="1"/>
    <col min="5" max="5" width="7.36328125" style="1" bestFit="1" customWidth="1"/>
    <col min="6" max="6" width="7" style="1" bestFit="1" customWidth="1"/>
    <col min="7" max="7" width="13.1796875" style="1" bestFit="1" customWidth="1"/>
    <col min="8" max="8" width="12.1796875" style="1" bestFit="1" customWidth="1"/>
    <col min="9" max="9" width="11" style="1" bestFit="1" customWidth="1"/>
    <col min="10" max="10" width="13.6328125" style="1" bestFit="1" customWidth="1"/>
    <col min="11" max="11" width="10" style="1" bestFit="1" customWidth="1"/>
    <col min="12" max="12" width="13.6328125" style="1" customWidth="1"/>
    <col min="13" max="13" width="10.6328125" style="1" bestFit="1" customWidth="1"/>
    <col min="14" max="14" width="19.6328125" style="1" bestFit="1" customWidth="1"/>
    <col min="15" max="15" width="12.36328125" style="1" bestFit="1" customWidth="1"/>
    <col min="16" max="16" width="13.81640625" style="1" bestFit="1" customWidth="1"/>
    <col min="17" max="17" width="12.26953125" style="1" bestFit="1" customWidth="1"/>
    <col min="18" max="18" width="21.90625" style="1" bestFit="1" customWidth="1"/>
    <col min="19" max="19" width="11" style="1" bestFit="1" customWidth="1"/>
    <col min="20" max="20" width="13.6328125" style="1" bestFit="1" customWidth="1"/>
    <col min="21" max="16384" width="11.453125" style="1"/>
  </cols>
  <sheetData>
    <row r="1" spans="1:21" x14ac:dyDescent="0.35">
      <c r="A1" s="18" t="s">
        <v>42</v>
      </c>
      <c r="B1" s="19" t="s">
        <v>1</v>
      </c>
      <c r="C1" s="19" t="s">
        <v>43</v>
      </c>
      <c r="D1" s="19" t="s">
        <v>2</v>
      </c>
      <c r="E1" s="19" t="s">
        <v>3</v>
      </c>
      <c r="F1" s="19" t="s">
        <v>53</v>
      </c>
      <c r="G1" s="19" t="s">
        <v>44</v>
      </c>
      <c r="H1" s="19" t="s">
        <v>45</v>
      </c>
      <c r="I1" s="19" t="s">
        <v>46</v>
      </c>
      <c r="J1" s="19" t="s">
        <v>47</v>
      </c>
      <c r="K1" s="19" t="s">
        <v>4</v>
      </c>
      <c r="L1" s="19" t="s">
        <v>61</v>
      </c>
      <c r="M1" s="19" t="s">
        <v>37</v>
      </c>
      <c r="N1" s="19" t="s">
        <v>38</v>
      </c>
      <c r="O1" s="19" t="s">
        <v>48</v>
      </c>
      <c r="P1" s="19" t="s">
        <v>49</v>
      </c>
      <c r="Q1" s="19" t="s">
        <v>51</v>
      </c>
      <c r="R1" s="19" t="s">
        <v>198</v>
      </c>
      <c r="S1" s="19" t="s">
        <v>46</v>
      </c>
      <c r="T1" s="19" t="s">
        <v>47</v>
      </c>
      <c r="U1" s="1" t="s">
        <v>195</v>
      </c>
    </row>
    <row r="2" spans="1:21" ht="15.5" x14ac:dyDescent="0.35">
      <c r="A2" s="18">
        <v>1</v>
      </c>
      <c r="B2" s="18" t="s">
        <v>152</v>
      </c>
      <c r="C2" s="18">
        <v>9.5</v>
      </c>
      <c r="D2" s="20">
        <v>0.75</v>
      </c>
      <c r="E2" s="21">
        <f t="shared" ref="E2:E20" si="0">60/D2</f>
        <v>80</v>
      </c>
      <c r="F2" s="18">
        <v>100</v>
      </c>
      <c r="G2" s="21">
        <f>F2*C2</f>
        <v>950</v>
      </c>
      <c r="H2" s="18">
        <v>855</v>
      </c>
      <c r="I2" s="7">
        <f>+H2/E2</f>
        <v>10.6875</v>
      </c>
      <c r="J2" s="7">
        <f>I2/C2</f>
        <v>1.125</v>
      </c>
      <c r="K2" s="6">
        <v>1</v>
      </c>
      <c r="L2" s="7">
        <f>IFERROR(((H2/F2)/$C$2)," ")</f>
        <v>0.9</v>
      </c>
      <c r="M2" s="18" t="s">
        <v>151</v>
      </c>
      <c r="N2" s="18" t="s">
        <v>16</v>
      </c>
      <c r="O2" s="22" t="s">
        <v>39</v>
      </c>
      <c r="P2" s="22" t="s">
        <v>50</v>
      </c>
      <c r="Q2" s="13" t="s">
        <v>57</v>
      </c>
      <c r="R2" s="46">
        <v>100</v>
      </c>
      <c r="S2" s="7">
        <f>IFERROR((H2/R2)," ")</f>
        <v>8.5500000000000007</v>
      </c>
      <c r="T2" s="7">
        <f>IFERROR((S2/$C$2)," ")</f>
        <v>0.9</v>
      </c>
      <c r="U2" s="2">
        <f>60/R2</f>
        <v>0.6</v>
      </c>
    </row>
    <row r="3" spans="1:21" ht="15.5" x14ac:dyDescent="0.35">
      <c r="A3" s="18">
        <v>2</v>
      </c>
      <c r="B3" s="18" t="s">
        <v>153</v>
      </c>
      <c r="C3" s="18">
        <v>9.5</v>
      </c>
      <c r="D3" s="20">
        <v>0.6</v>
      </c>
      <c r="E3" s="21">
        <f t="shared" si="0"/>
        <v>100</v>
      </c>
      <c r="F3" s="18">
        <v>100</v>
      </c>
      <c r="G3" s="21">
        <f t="shared" ref="G3:G20" si="1">F3*C3</f>
        <v>950</v>
      </c>
      <c r="H3" s="18">
        <v>855</v>
      </c>
      <c r="I3" s="7">
        <f t="shared" ref="I3:I20" si="2">+H3/E3</f>
        <v>8.5500000000000007</v>
      </c>
      <c r="J3" s="7">
        <f t="shared" ref="J3:J20" si="3">I3/C3</f>
        <v>0.9</v>
      </c>
      <c r="K3" s="6">
        <v>1</v>
      </c>
      <c r="L3" s="7">
        <f t="shared" ref="L3:L20" si="4">IFERROR(((H3/F3)/$C$2)," ")</f>
        <v>0.9</v>
      </c>
      <c r="M3" s="18" t="s">
        <v>151</v>
      </c>
      <c r="N3" s="18" t="s">
        <v>142</v>
      </c>
      <c r="O3" s="22" t="s">
        <v>41</v>
      </c>
      <c r="P3" s="22" t="s">
        <v>50</v>
      </c>
      <c r="Q3" s="13">
        <v>90</v>
      </c>
      <c r="R3" s="46">
        <v>100</v>
      </c>
      <c r="S3" s="7">
        <f t="shared" ref="S3:S20" si="5">IFERROR((H3/R3)," ")</f>
        <v>8.5500000000000007</v>
      </c>
      <c r="T3" s="7">
        <f t="shared" ref="T3:T20" si="6">IFERROR((S3/$C$2)," ")</f>
        <v>0.9</v>
      </c>
      <c r="U3" s="2">
        <f t="shared" ref="U3:U20" si="7">60/R3</f>
        <v>0.6</v>
      </c>
    </row>
    <row r="4" spans="1:21" ht="15.5" x14ac:dyDescent="0.35">
      <c r="A4" s="18">
        <v>3</v>
      </c>
      <c r="B4" s="36" t="s">
        <v>154</v>
      </c>
      <c r="C4" s="36">
        <v>9.5</v>
      </c>
      <c r="D4" s="37">
        <v>1.6</v>
      </c>
      <c r="E4" s="38">
        <f t="shared" si="0"/>
        <v>37.5</v>
      </c>
      <c r="F4" s="36">
        <v>37</v>
      </c>
      <c r="G4" s="38">
        <f t="shared" si="1"/>
        <v>351.5</v>
      </c>
      <c r="H4" s="36">
        <v>855</v>
      </c>
      <c r="I4" s="31">
        <f t="shared" si="2"/>
        <v>22.8</v>
      </c>
      <c r="J4" s="31">
        <f t="shared" si="3"/>
        <v>2.4</v>
      </c>
      <c r="K4" s="32">
        <v>3</v>
      </c>
      <c r="L4" s="31">
        <f t="shared" si="4"/>
        <v>2.4324324324324325</v>
      </c>
      <c r="M4" s="36" t="s">
        <v>151</v>
      </c>
      <c r="N4" s="36" t="s">
        <v>76</v>
      </c>
      <c r="O4" s="39" t="s">
        <v>40</v>
      </c>
      <c r="P4" s="39" t="s">
        <v>50</v>
      </c>
      <c r="Q4" s="40">
        <v>85</v>
      </c>
      <c r="R4" s="13">
        <v>85</v>
      </c>
      <c r="S4" s="7">
        <f t="shared" si="5"/>
        <v>10.058823529411764</v>
      </c>
      <c r="T4" s="7">
        <f t="shared" si="6"/>
        <v>1.0588235294117647</v>
      </c>
      <c r="U4" s="2">
        <f t="shared" si="7"/>
        <v>0.70588235294117652</v>
      </c>
    </row>
    <row r="5" spans="1:21" ht="15.5" x14ac:dyDescent="0.35">
      <c r="A5" s="18">
        <v>4</v>
      </c>
      <c r="B5" s="36" t="s">
        <v>186</v>
      </c>
      <c r="C5" s="36">
        <v>9.5</v>
      </c>
      <c r="D5" s="37">
        <v>1.6</v>
      </c>
      <c r="E5" s="38">
        <f t="shared" si="0"/>
        <v>37.5</v>
      </c>
      <c r="F5" s="36">
        <v>37</v>
      </c>
      <c r="G5" s="38">
        <f t="shared" si="1"/>
        <v>351.5</v>
      </c>
      <c r="H5" s="36">
        <v>855</v>
      </c>
      <c r="I5" s="31">
        <f t="shared" si="2"/>
        <v>22.8</v>
      </c>
      <c r="J5" s="31">
        <f t="shared" si="3"/>
        <v>2.4</v>
      </c>
      <c r="K5" s="32">
        <v>3</v>
      </c>
      <c r="L5" s="31">
        <f t="shared" si="4"/>
        <v>2.4324324324324325</v>
      </c>
      <c r="M5" s="36" t="s">
        <v>151</v>
      </c>
      <c r="N5" s="36" t="s">
        <v>12</v>
      </c>
      <c r="O5" s="39" t="s">
        <v>40</v>
      </c>
      <c r="P5" s="39" t="s">
        <v>50</v>
      </c>
      <c r="Q5" s="40">
        <v>90</v>
      </c>
      <c r="R5" s="13">
        <v>90</v>
      </c>
      <c r="S5" s="7">
        <f t="shared" si="5"/>
        <v>9.5</v>
      </c>
      <c r="T5" s="7">
        <f t="shared" si="6"/>
        <v>1</v>
      </c>
      <c r="U5" s="2">
        <f t="shared" si="7"/>
        <v>0.66666666666666663</v>
      </c>
    </row>
    <row r="6" spans="1:21" ht="15.5" x14ac:dyDescent="0.35">
      <c r="A6" s="18">
        <v>5</v>
      </c>
      <c r="B6" s="18" t="s">
        <v>155</v>
      </c>
      <c r="C6" s="18">
        <v>9.5</v>
      </c>
      <c r="D6" s="20">
        <v>0.54</v>
      </c>
      <c r="E6" s="21">
        <f t="shared" si="0"/>
        <v>111.1111111111111</v>
      </c>
      <c r="F6" s="18">
        <v>110</v>
      </c>
      <c r="G6" s="21">
        <f t="shared" si="1"/>
        <v>1045</v>
      </c>
      <c r="H6" s="18">
        <v>855</v>
      </c>
      <c r="I6" s="7">
        <f t="shared" si="2"/>
        <v>7.6950000000000012</v>
      </c>
      <c r="J6" s="7">
        <f t="shared" si="3"/>
        <v>0.81000000000000016</v>
      </c>
      <c r="K6" s="6">
        <v>1</v>
      </c>
      <c r="L6" s="7">
        <f t="shared" si="4"/>
        <v>0.81818181818181812</v>
      </c>
      <c r="M6" s="18" t="s">
        <v>151</v>
      </c>
      <c r="N6" s="18" t="s">
        <v>92</v>
      </c>
      <c r="O6" s="22" t="s">
        <v>40</v>
      </c>
      <c r="P6" s="22" t="s">
        <v>50</v>
      </c>
      <c r="Q6" s="13">
        <v>95</v>
      </c>
      <c r="R6" s="46">
        <v>110</v>
      </c>
      <c r="S6" s="7">
        <f t="shared" si="5"/>
        <v>7.7727272727272725</v>
      </c>
      <c r="T6" s="7">
        <f t="shared" si="6"/>
        <v>0.81818181818181812</v>
      </c>
      <c r="U6" s="2">
        <f t="shared" si="7"/>
        <v>0.54545454545454541</v>
      </c>
    </row>
    <row r="7" spans="1:21" ht="15.5" x14ac:dyDescent="0.35">
      <c r="A7" s="18">
        <v>6</v>
      </c>
      <c r="B7" s="18" t="s">
        <v>199</v>
      </c>
      <c r="C7" s="18">
        <v>9.5</v>
      </c>
      <c r="D7" s="20">
        <v>0.54</v>
      </c>
      <c r="E7" s="22">
        <f t="shared" si="0"/>
        <v>111.1111111111111</v>
      </c>
      <c r="F7" s="18">
        <v>100</v>
      </c>
      <c r="G7" s="21">
        <f t="shared" si="1"/>
        <v>950</v>
      </c>
      <c r="H7" s="18">
        <v>855</v>
      </c>
      <c r="I7" s="7">
        <f t="shared" si="2"/>
        <v>7.6950000000000012</v>
      </c>
      <c r="J7" s="7">
        <f t="shared" si="3"/>
        <v>0.81000000000000016</v>
      </c>
      <c r="K7" s="6">
        <v>1</v>
      </c>
      <c r="L7" s="7">
        <f t="shared" si="4"/>
        <v>0.9</v>
      </c>
      <c r="M7" s="18" t="s">
        <v>151</v>
      </c>
      <c r="N7" s="18" t="s">
        <v>16</v>
      </c>
      <c r="O7" s="22" t="s">
        <v>39</v>
      </c>
      <c r="P7" s="22" t="s">
        <v>50</v>
      </c>
      <c r="Q7" s="13">
        <v>55</v>
      </c>
      <c r="R7" s="46">
        <v>100</v>
      </c>
      <c r="S7" s="7">
        <f t="shared" si="5"/>
        <v>8.5500000000000007</v>
      </c>
      <c r="T7" s="7">
        <f t="shared" si="6"/>
        <v>0.9</v>
      </c>
      <c r="U7" s="2">
        <f t="shared" si="7"/>
        <v>0.6</v>
      </c>
    </row>
    <row r="8" spans="1:21" ht="15.5" x14ac:dyDescent="0.35">
      <c r="A8" s="18">
        <v>7</v>
      </c>
      <c r="B8" s="18" t="s">
        <v>200</v>
      </c>
      <c r="C8" s="18">
        <v>9.5</v>
      </c>
      <c r="D8" s="18">
        <v>0.54</v>
      </c>
      <c r="E8" s="22">
        <f t="shared" si="0"/>
        <v>111.1111111111111</v>
      </c>
      <c r="F8" s="18">
        <v>110</v>
      </c>
      <c r="G8" s="21">
        <f t="shared" si="1"/>
        <v>1045</v>
      </c>
      <c r="H8" s="18">
        <v>855</v>
      </c>
      <c r="I8" s="7">
        <f t="shared" si="2"/>
        <v>7.6950000000000012</v>
      </c>
      <c r="J8" s="7">
        <f t="shared" si="3"/>
        <v>0.81000000000000016</v>
      </c>
      <c r="K8" s="6">
        <v>1</v>
      </c>
      <c r="L8" s="7">
        <f t="shared" si="4"/>
        <v>0.81818181818181812</v>
      </c>
      <c r="M8" s="18" t="s">
        <v>151</v>
      </c>
      <c r="N8" s="18" t="s">
        <v>16</v>
      </c>
      <c r="O8" s="22" t="s">
        <v>39</v>
      </c>
      <c r="P8" s="22" t="s">
        <v>50</v>
      </c>
      <c r="Q8" s="13">
        <v>50</v>
      </c>
      <c r="R8" s="46">
        <v>110</v>
      </c>
      <c r="S8" s="7">
        <f t="shared" si="5"/>
        <v>7.7727272727272725</v>
      </c>
      <c r="T8" s="7">
        <f t="shared" si="6"/>
        <v>0.81818181818181812</v>
      </c>
      <c r="U8" s="2">
        <f t="shared" si="7"/>
        <v>0.54545454545454541</v>
      </c>
    </row>
    <row r="9" spans="1:21" s="45" customFormat="1" ht="15.5" x14ac:dyDescent="0.35">
      <c r="A9" s="36">
        <v>8</v>
      </c>
      <c r="B9" s="36" t="s">
        <v>156</v>
      </c>
      <c r="C9" s="36">
        <v>9.5</v>
      </c>
      <c r="D9" s="36">
        <v>0.73</v>
      </c>
      <c r="E9" s="37">
        <f t="shared" si="0"/>
        <v>82.191780821917817</v>
      </c>
      <c r="F9" s="36">
        <v>82</v>
      </c>
      <c r="G9" s="38">
        <f t="shared" si="1"/>
        <v>779</v>
      </c>
      <c r="H9" s="36">
        <v>855</v>
      </c>
      <c r="I9" s="31">
        <f t="shared" si="2"/>
        <v>10.402499999999998</v>
      </c>
      <c r="J9" s="31">
        <f t="shared" si="3"/>
        <v>1.0949999999999998</v>
      </c>
      <c r="K9" s="32">
        <v>1</v>
      </c>
      <c r="L9" s="31">
        <f t="shared" si="4"/>
        <v>1.0975609756097562</v>
      </c>
      <c r="M9" s="36" t="s">
        <v>151</v>
      </c>
      <c r="N9" s="36" t="s">
        <v>142</v>
      </c>
      <c r="O9" s="36" t="s">
        <v>41</v>
      </c>
      <c r="P9" s="39" t="s">
        <v>50</v>
      </c>
      <c r="Q9" s="40" t="s">
        <v>54</v>
      </c>
      <c r="R9" s="40" t="s">
        <v>58</v>
      </c>
      <c r="S9" s="31" t="str">
        <f t="shared" si="5"/>
        <v xml:space="preserve"> </v>
      </c>
      <c r="T9" s="31" t="str">
        <f t="shared" si="6"/>
        <v xml:space="preserve"> </v>
      </c>
      <c r="U9" s="2"/>
    </row>
    <row r="10" spans="1:21" ht="15.5" x14ac:dyDescent="0.35">
      <c r="A10" s="18">
        <v>9</v>
      </c>
      <c r="B10" s="18" t="s">
        <v>157</v>
      </c>
      <c r="C10" s="18">
        <v>9.5</v>
      </c>
      <c r="D10" s="18">
        <v>1.3</v>
      </c>
      <c r="E10" s="20">
        <f t="shared" si="0"/>
        <v>46.153846153846153</v>
      </c>
      <c r="F10" s="18">
        <v>46</v>
      </c>
      <c r="G10" s="21">
        <f t="shared" si="1"/>
        <v>437</v>
      </c>
      <c r="H10" s="18">
        <v>855</v>
      </c>
      <c r="I10" s="7">
        <f t="shared" si="2"/>
        <v>18.524999999999999</v>
      </c>
      <c r="J10" s="7">
        <f t="shared" si="3"/>
        <v>1.95</v>
      </c>
      <c r="K10" s="6">
        <v>2</v>
      </c>
      <c r="L10" s="7">
        <f t="shared" si="4"/>
        <v>1.9565217391304346</v>
      </c>
      <c r="M10" s="18" t="s">
        <v>151</v>
      </c>
      <c r="N10" s="18" t="s">
        <v>158</v>
      </c>
      <c r="O10" s="18" t="s">
        <v>41</v>
      </c>
      <c r="P10" s="22" t="s">
        <v>50</v>
      </c>
      <c r="Q10" s="13">
        <v>39</v>
      </c>
      <c r="R10" s="46">
        <v>60</v>
      </c>
      <c r="S10" s="7">
        <f t="shared" si="5"/>
        <v>14.25</v>
      </c>
      <c r="T10" s="7">
        <f t="shared" si="6"/>
        <v>1.5</v>
      </c>
      <c r="U10" s="2">
        <f t="shared" si="7"/>
        <v>1</v>
      </c>
    </row>
    <row r="11" spans="1:21" ht="15.5" x14ac:dyDescent="0.35">
      <c r="A11" s="18">
        <v>11</v>
      </c>
      <c r="B11" s="18" t="s">
        <v>201</v>
      </c>
      <c r="C11" s="18">
        <v>9.5</v>
      </c>
      <c r="D11" s="20">
        <v>0.54</v>
      </c>
      <c r="E11" s="20">
        <f t="shared" si="0"/>
        <v>111.1111111111111</v>
      </c>
      <c r="F11" s="29">
        <v>110</v>
      </c>
      <c r="G11" s="21">
        <f t="shared" si="1"/>
        <v>1045</v>
      </c>
      <c r="H11" s="18">
        <v>855</v>
      </c>
      <c r="I11" s="7">
        <f t="shared" si="2"/>
        <v>7.6950000000000012</v>
      </c>
      <c r="J11" s="7">
        <f t="shared" si="3"/>
        <v>0.81000000000000016</v>
      </c>
      <c r="K11" s="6">
        <v>1</v>
      </c>
      <c r="L11" s="7">
        <f t="shared" si="4"/>
        <v>0.81818181818181812</v>
      </c>
      <c r="M11" s="18" t="s">
        <v>151</v>
      </c>
      <c r="N11" s="19" t="s">
        <v>102</v>
      </c>
      <c r="O11" s="26" t="s">
        <v>41</v>
      </c>
      <c r="P11" s="22" t="s">
        <v>50</v>
      </c>
      <c r="Q11" s="13">
        <v>90</v>
      </c>
      <c r="R11" s="46">
        <v>100</v>
      </c>
      <c r="S11" s="7">
        <f t="shared" si="5"/>
        <v>8.5500000000000007</v>
      </c>
      <c r="T11" s="7">
        <f t="shared" si="6"/>
        <v>0.9</v>
      </c>
      <c r="U11" s="2">
        <f t="shared" si="7"/>
        <v>0.6</v>
      </c>
    </row>
    <row r="12" spans="1:21" ht="15.5" x14ac:dyDescent="0.35">
      <c r="A12" s="18">
        <v>11</v>
      </c>
      <c r="B12" s="18" t="s">
        <v>159</v>
      </c>
      <c r="C12" s="18">
        <v>9.5</v>
      </c>
      <c r="D12" s="20">
        <v>0.54</v>
      </c>
      <c r="E12" s="22">
        <f t="shared" si="0"/>
        <v>111.1111111111111</v>
      </c>
      <c r="F12" s="18">
        <v>110</v>
      </c>
      <c r="G12" s="21">
        <f t="shared" si="1"/>
        <v>1045</v>
      </c>
      <c r="H12" s="18">
        <v>855</v>
      </c>
      <c r="I12" s="7">
        <f t="shared" si="2"/>
        <v>7.6950000000000012</v>
      </c>
      <c r="J12" s="7">
        <f t="shared" si="3"/>
        <v>0.81000000000000016</v>
      </c>
      <c r="K12" s="6">
        <v>1</v>
      </c>
      <c r="L12" s="7">
        <f t="shared" si="4"/>
        <v>0.81818181818181812</v>
      </c>
      <c r="M12" s="18" t="s">
        <v>151</v>
      </c>
      <c r="N12" s="18" t="s">
        <v>12</v>
      </c>
      <c r="O12" s="22" t="s">
        <v>40</v>
      </c>
      <c r="P12" s="22" t="s">
        <v>50</v>
      </c>
      <c r="Q12" s="13">
        <v>80</v>
      </c>
      <c r="R12" s="46">
        <v>110</v>
      </c>
      <c r="S12" s="7">
        <f t="shared" si="5"/>
        <v>7.7727272727272725</v>
      </c>
      <c r="T12" s="7">
        <f t="shared" si="6"/>
        <v>0.81818181818181812</v>
      </c>
      <c r="U12" s="2">
        <f t="shared" si="7"/>
        <v>0.54545454545454541</v>
      </c>
    </row>
    <row r="13" spans="1:21" ht="15.5" x14ac:dyDescent="0.35">
      <c r="A13" s="18"/>
      <c r="B13" s="18" t="s">
        <v>167</v>
      </c>
      <c r="C13" s="18">
        <v>9.5</v>
      </c>
      <c r="D13" s="20">
        <v>0.54</v>
      </c>
      <c r="E13" s="22">
        <f>60/D13</f>
        <v>111.1111111111111</v>
      </c>
      <c r="F13" s="18">
        <v>110</v>
      </c>
      <c r="G13" s="21">
        <f>F13*C13</f>
        <v>1045</v>
      </c>
      <c r="H13" s="18">
        <v>855</v>
      </c>
      <c r="I13" s="7">
        <f>+H13/E13</f>
        <v>7.6950000000000012</v>
      </c>
      <c r="J13" s="7">
        <f>I13/C13</f>
        <v>0.81000000000000016</v>
      </c>
      <c r="K13" s="6">
        <v>1</v>
      </c>
      <c r="L13" s="7">
        <f>IFERROR(((H13/F13)/$C$2)," ")</f>
        <v>0.81818181818181812</v>
      </c>
      <c r="M13" s="18" t="s">
        <v>151</v>
      </c>
      <c r="N13" s="18" t="s">
        <v>12</v>
      </c>
      <c r="O13" s="22" t="s">
        <v>40</v>
      </c>
      <c r="P13" s="22" t="s">
        <v>50</v>
      </c>
      <c r="Q13" s="13" t="s">
        <v>54</v>
      </c>
      <c r="R13" s="46">
        <v>110</v>
      </c>
      <c r="S13" s="7">
        <f>IFERROR((H13/R13)," ")</f>
        <v>7.7727272727272725</v>
      </c>
      <c r="T13" s="7">
        <f>IFERROR((S13/$C$2)," ")</f>
        <v>0.81818181818181812</v>
      </c>
      <c r="U13" s="2">
        <f>60/R13</f>
        <v>0.54545454545454541</v>
      </c>
    </row>
    <row r="14" spans="1:21" ht="15.5" x14ac:dyDescent="0.35">
      <c r="A14" s="18">
        <v>10</v>
      </c>
      <c r="B14" s="18" t="s">
        <v>160</v>
      </c>
      <c r="C14" s="18">
        <v>9.5</v>
      </c>
      <c r="D14" s="20">
        <v>0.54</v>
      </c>
      <c r="E14" s="21">
        <f t="shared" si="0"/>
        <v>111.1111111111111</v>
      </c>
      <c r="F14" s="18">
        <v>110</v>
      </c>
      <c r="G14" s="21">
        <f t="shared" si="1"/>
        <v>1045</v>
      </c>
      <c r="H14" s="18">
        <v>855</v>
      </c>
      <c r="I14" s="7">
        <f t="shared" si="2"/>
        <v>7.6950000000000012</v>
      </c>
      <c r="J14" s="7">
        <f t="shared" si="3"/>
        <v>0.81000000000000016</v>
      </c>
      <c r="K14" s="6">
        <v>1</v>
      </c>
      <c r="L14" s="7">
        <f t="shared" si="4"/>
        <v>0.81818181818181812</v>
      </c>
      <c r="M14" s="18" t="s">
        <v>151</v>
      </c>
      <c r="N14" s="18" t="s">
        <v>161</v>
      </c>
      <c r="O14" s="22" t="s">
        <v>41</v>
      </c>
      <c r="P14" s="22" t="s">
        <v>50</v>
      </c>
      <c r="Q14" s="13">
        <v>85</v>
      </c>
      <c r="R14" s="46">
        <v>110</v>
      </c>
      <c r="S14" s="7">
        <f t="shared" si="5"/>
        <v>7.7727272727272725</v>
      </c>
      <c r="T14" s="7">
        <f t="shared" si="6"/>
        <v>0.81818181818181812</v>
      </c>
      <c r="U14" s="2">
        <f t="shared" si="7"/>
        <v>0.54545454545454541</v>
      </c>
    </row>
    <row r="15" spans="1:21" ht="18.75" customHeight="1" x14ac:dyDescent="0.35">
      <c r="A15" s="18">
        <v>12</v>
      </c>
      <c r="B15" s="18" t="s">
        <v>162</v>
      </c>
      <c r="C15" s="18">
        <v>9.5</v>
      </c>
      <c r="D15" s="18">
        <v>0.52</v>
      </c>
      <c r="E15" s="20">
        <f t="shared" si="0"/>
        <v>115.38461538461539</v>
      </c>
      <c r="F15" s="18">
        <v>115</v>
      </c>
      <c r="G15" s="21">
        <f t="shared" si="1"/>
        <v>1092.5</v>
      </c>
      <c r="H15" s="18">
        <v>855</v>
      </c>
      <c r="I15" s="7">
        <f t="shared" si="2"/>
        <v>7.41</v>
      </c>
      <c r="J15" s="7">
        <f t="shared" si="3"/>
        <v>0.78</v>
      </c>
      <c r="K15" s="6">
        <v>1</v>
      </c>
      <c r="L15" s="7">
        <f t="shared" si="4"/>
        <v>0.78260869565217395</v>
      </c>
      <c r="M15" s="18" t="s">
        <v>151</v>
      </c>
      <c r="N15" s="18" t="s">
        <v>16</v>
      </c>
      <c r="O15" s="22" t="s">
        <v>39</v>
      </c>
      <c r="P15" s="22" t="s">
        <v>50</v>
      </c>
      <c r="Q15" s="13">
        <v>170</v>
      </c>
      <c r="R15" s="46">
        <v>135</v>
      </c>
      <c r="S15" s="7">
        <f t="shared" si="5"/>
        <v>6.333333333333333</v>
      </c>
      <c r="T15" s="7">
        <f t="shared" si="6"/>
        <v>0.66666666666666663</v>
      </c>
      <c r="U15" s="2">
        <f t="shared" si="7"/>
        <v>0.44444444444444442</v>
      </c>
    </row>
    <row r="16" spans="1:21" ht="15.5" x14ac:dyDescent="0.35">
      <c r="A16" s="18">
        <v>13</v>
      </c>
      <c r="B16" s="18" t="s">
        <v>163</v>
      </c>
      <c r="C16" s="18">
        <v>9.5</v>
      </c>
      <c r="D16" s="18">
        <v>0.52</v>
      </c>
      <c r="E16" s="20">
        <f t="shared" si="0"/>
        <v>115.38461538461539</v>
      </c>
      <c r="F16" s="18">
        <v>115</v>
      </c>
      <c r="G16" s="21">
        <f t="shared" si="1"/>
        <v>1092.5</v>
      </c>
      <c r="H16" s="18">
        <v>855</v>
      </c>
      <c r="I16" s="7">
        <f t="shared" si="2"/>
        <v>7.41</v>
      </c>
      <c r="J16" s="7">
        <f t="shared" si="3"/>
        <v>0.78</v>
      </c>
      <c r="K16" s="6">
        <v>1</v>
      </c>
      <c r="L16" s="7">
        <f t="shared" si="4"/>
        <v>0.78260869565217395</v>
      </c>
      <c r="M16" s="18" t="s">
        <v>151</v>
      </c>
      <c r="N16" s="18" t="s">
        <v>65</v>
      </c>
      <c r="O16" s="22" t="s">
        <v>40</v>
      </c>
      <c r="P16" s="22" t="s">
        <v>50</v>
      </c>
      <c r="Q16" s="13">
        <v>170</v>
      </c>
      <c r="R16" s="46">
        <v>135</v>
      </c>
      <c r="S16" s="7">
        <f t="shared" si="5"/>
        <v>6.333333333333333</v>
      </c>
      <c r="T16" s="7">
        <f t="shared" si="6"/>
        <v>0.66666666666666663</v>
      </c>
      <c r="U16" s="2">
        <f t="shared" si="7"/>
        <v>0.44444444444444442</v>
      </c>
    </row>
    <row r="17" spans="1:21" ht="15.5" x14ac:dyDescent="0.35">
      <c r="A17" s="18">
        <v>14</v>
      </c>
      <c r="B17" s="18" t="s">
        <v>164</v>
      </c>
      <c r="C17" s="18">
        <v>9.5</v>
      </c>
      <c r="D17" s="18">
        <v>1.2</v>
      </c>
      <c r="E17" s="18">
        <f t="shared" si="0"/>
        <v>50</v>
      </c>
      <c r="F17" s="18">
        <v>50</v>
      </c>
      <c r="G17" s="21">
        <f t="shared" si="1"/>
        <v>475</v>
      </c>
      <c r="H17" s="18">
        <v>855</v>
      </c>
      <c r="I17" s="7">
        <f t="shared" si="2"/>
        <v>17.100000000000001</v>
      </c>
      <c r="J17" s="7">
        <f t="shared" si="3"/>
        <v>1.8</v>
      </c>
      <c r="K17" s="6">
        <v>2</v>
      </c>
      <c r="L17" s="7">
        <f t="shared" si="4"/>
        <v>1.8</v>
      </c>
      <c r="M17" s="18" t="s">
        <v>151</v>
      </c>
      <c r="N17" s="18" t="s">
        <v>165</v>
      </c>
      <c r="O17" s="18" t="s">
        <v>40</v>
      </c>
      <c r="P17" s="22" t="s">
        <v>50</v>
      </c>
      <c r="Q17" s="13">
        <v>40</v>
      </c>
      <c r="R17" s="46">
        <v>50</v>
      </c>
      <c r="S17" s="7">
        <f t="shared" si="5"/>
        <v>17.100000000000001</v>
      </c>
      <c r="T17" s="7">
        <f t="shared" si="6"/>
        <v>1.8</v>
      </c>
      <c r="U17" s="2">
        <f t="shared" si="7"/>
        <v>1.2</v>
      </c>
    </row>
    <row r="18" spans="1:21" ht="15.5" x14ac:dyDescent="0.35">
      <c r="A18" s="18">
        <v>15</v>
      </c>
      <c r="B18" s="36" t="s">
        <v>166</v>
      </c>
      <c r="C18" s="36">
        <v>9.5</v>
      </c>
      <c r="D18" s="37">
        <v>1.1499999999999999</v>
      </c>
      <c r="E18" s="38">
        <f t="shared" si="0"/>
        <v>52.173913043478265</v>
      </c>
      <c r="F18" s="36">
        <v>45</v>
      </c>
      <c r="G18" s="38">
        <f t="shared" si="1"/>
        <v>427.5</v>
      </c>
      <c r="H18" s="36">
        <v>855</v>
      </c>
      <c r="I18" s="31">
        <f t="shared" si="2"/>
        <v>16.387499999999999</v>
      </c>
      <c r="J18" s="31">
        <f t="shared" si="3"/>
        <v>1.7249999999999999</v>
      </c>
      <c r="K18" s="32">
        <v>2</v>
      </c>
      <c r="L18" s="31">
        <f t="shared" si="4"/>
        <v>2</v>
      </c>
      <c r="M18" s="36" t="s">
        <v>151</v>
      </c>
      <c r="N18" s="36" t="s">
        <v>76</v>
      </c>
      <c r="O18" s="39" t="s">
        <v>40</v>
      </c>
      <c r="P18" s="39" t="s">
        <v>50</v>
      </c>
      <c r="Q18" s="40">
        <v>85</v>
      </c>
      <c r="R18" s="46">
        <v>90</v>
      </c>
      <c r="S18" s="7">
        <f t="shared" si="5"/>
        <v>9.5</v>
      </c>
      <c r="T18" s="7">
        <f t="shared" si="6"/>
        <v>1</v>
      </c>
      <c r="U18" s="2">
        <f t="shared" si="7"/>
        <v>0.66666666666666663</v>
      </c>
    </row>
    <row r="19" spans="1:21" ht="15.5" x14ac:dyDescent="0.35">
      <c r="A19" s="18">
        <v>17</v>
      </c>
      <c r="B19" s="18" t="s">
        <v>168</v>
      </c>
      <c r="C19" s="18">
        <v>9.5</v>
      </c>
      <c r="D19" s="18">
        <v>0.54</v>
      </c>
      <c r="E19" s="20">
        <f t="shared" si="0"/>
        <v>111.1111111111111</v>
      </c>
      <c r="F19" s="18">
        <v>110</v>
      </c>
      <c r="G19" s="21">
        <f t="shared" si="1"/>
        <v>1045</v>
      </c>
      <c r="H19" s="18">
        <v>855</v>
      </c>
      <c r="I19" s="7">
        <f t="shared" si="2"/>
        <v>7.6950000000000012</v>
      </c>
      <c r="J19" s="7">
        <f t="shared" si="3"/>
        <v>0.81000000000000016</v>
      </c>
      <c r="K19" s="6">
        <v>1</v>
      </c>
      <c r="L19" s="7">
        <f t="shared" si="4"/>
        <v>0.81818181818181812</v>
      </c>
      <c r="M19" s="18" t="s">
        <v>151</v>
      </c>
      <c r="N19" s="18" t="s">
        <v>12</v>
      </c>
      <c r="O19" s="22" t="s">
        <v>40</v>
      </c>
      <c r="P19" s="22" t="s">
        <v>50</v>
      </c>
      <c r="Q19" s="13">
        <v>82</v>
      </c>
      <c r="R19" s="46">
        <v>110</v>
      </c>
      <c r="S19" s="7">
        <f t="shared" si="5"/>
        <v>7.7727272727272725</v>
      </c>
      <c r="T19" s="7">
        <f t="shared" si="6"/>
        <v>0.81818181818181812</v>
      </c>
      <c r="U19" s="2">
        <f t="shared" si="7"/>
        <v>0.54545454545454541</v>
      </c>
    </row>
    <row r="20" spans="1:21" ht="15.5" x14ac:dyDescent="0.35">
      <c r="A20" s="18">
        <v>18</v>
      </c>
      <c r="B20" s="18" t="s">
        <v>169</v>
      </c>
      <c r="C20" s="18">
        <v>9.5</v>
      </c>
      <c r="D20" s="18">
        <v>2</v>
      </c>
      <c r="E20" s="18">
        <f t="shared" si="0"/>
        <v>30</v>
      </c>
      <c r="F20" s="18">
        <v>30</v>
      </c>
      <c r="G20" s="21">
        <f t="shared" si="1"/>
        <v>285</v>
      </c>
      <c r="H20" s="18">
        <v>855</v>
      </c>
      <c r="I20" s="7">
        <f t="shared" si="2"/>
        <v>28.5</v>
      </c>
      <c r="J20" s="7">
        <f t="shared" si="3"/>
        <v>3</v>
      </c>
      <c r="K20" s="6">
        <v>3</v>
      </c>
      <c r="L20" s="7">
        <f t="shared" si="4"/>
        <v>3</v>
      </c>
      <c r="M20" s="18" t="s">
        <v>151</v>
      </c>
      <c r="N20" s="18" t="s">
        <v>170</v>
      </c>
      <c r="O20" s="18" t="s">
        <v>39</v>
      </c>
      <c r="P20" s="22" t="s">
        <v>50</v>
      </c>
      <c r="Q20" s="13">
        <v>40</v>
      </c>
      <c r="R20" s="46">
        <v>30</v>
      </c>
      <c r="S20" s="7">
        <f t="shared" si="5"/>
        <v>28.5</v>
      </c>
      <c r="T20" s="7">
        <f t="shared" si="6"/>
        <v>3</v>
      </c>
      <c r="U20" s="2">
        <f t="shared" si="7"/>
        <v>2</v>
      </c>
    </row>
    <row r="21" spans="1:21" ht="15.5" x14ac:dyDescent="0.35">
      <c r="A21" s="17"/>
      <c r="B21" s="1" t="s">
        <v>171</v>
      </c>
      <c r="C21" s="18">
        <v>9.5</v>
      </c>
      <c r="D21" s="18">
        <v>3</v>
      </c>
      <c r="E21" s="18">
        <f t="shared" ref="E21" si="8">60/D21</f>
        <v>20</v>
      </c>
      <c r="F21" s="18">
        <v>20</v>
      </c>
      <c r="G21" s="21">
        <f t="shared" ref="G21" si="9">F21*C21</f>
        <v>190</v>
      </c>
      <c r="H21" s="18">
        <v>855</v>
      </c>
      <c r="I21" s="7">
        <f t="shared" ref="I21" si="10">+H21/E21</f>
        <v>42.75</v>
      </c>
      <c r="J21" s="7">
        <f t="shared" ref="J21" si="11">I21/C21</f>
        <v>4.5</v>
      </c>
      <c r="K21" s="6">
        <v>3</v>
      </c>
      <c r="L21" s="7">
        <f t="shared" ref="L21" si="12">IFERROR(((H21/F21)/$C$2)," ")</f>
        <v>4.5</v>
      </c>
      <c r="M21" s="18" t="s">
        <v>151</v>
      </c>
      <c r="N21" s="18" t="s">
        <v>170</v>
      </c>
      <c r="O21" s="18" t="s">
        <v>39</v>
      </c>
      <c r="P21" s="22" t="s">
        <v>50</v>
      </c>
      <c r="Q21" s="13" t="s">
        <v>180</v>
      </c>
      <c r="R21" s="46">
        <v>20</v>
      </c>
      <c r="S21" s="7">
        <f t="shared" ref="S21" si="13">IFERROR((H21/R21)," ")</f>
        <v>42.75</v>
      </c>
      <c r="T21" s="7">
        <f t="shared" ref="T21" si="14">IFERROR((S21/$C$2)," ")</f>
        <v>4.5</v>
      </c>
      <c r="U21" s="2">
        <f t="shared" ref="U21" si="15">60/R21</f>
        <v>3</v>
      </c>
    </row>
    <row r="22" spans="1:21" x14ac:dyDescent="0.35">
      <c r="J22" s="2">
        <f>SUM(J2:J20)</f>
        <v>24.435000000000006</v>
      </c>
      <c r="L22" s="2">
        <f>SUM(L2:L20)</f>
        <v>24.711437698182134</v>
      </c>
      <c r="T22" s="2">
        <f>SUM(T2:T20)</f>
        <v>19.201247771836005</v>
      </c>
    </row>
  </sheetData>
  <pageMargins left="0.70866141732283472" right="0.70866141732283472" top="0.74803149606299213" bottom="0.74803149606299213" header="0.31496062992125984" footer="0.31496062992125984"/>
  <pageSetup scale="4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4B981-AF9D-4399-9069-B6E4854525E6}">
  <sheetPr>
    <tabColor theme="9" tint="0.79998168889431442"/>
    <pageSetUpPr fitToPage="1"/>
  </sheetPr>
  <dimension ref="A1:T4"/>
  <sheetViews>
    <sheetView topLeftCell="J1" workbookViewId="0">
      <selection activeCell="V17" sqref="V17"/>
    </sheetView>
  </sheetViews>
  <sheetFormatPr baseColWidth="10" defaultColWidth="11.453125" defaultRowHeight="14.5" x14ac:dyDescent="0.35"/>
  <cols>
    <col min="1" max="1" width="1.90625" bestFit="1" customWidth="1"/>
    <col min="2" max="2" width="15.7265625" bestFit="1" customWidth="1"/>
    <col min="3" max="3" width="7.90625" bestFit="1" customWidth="1"/>
    <col min="4" max="4" width="6.7265625" bestFit="1" customWidth="1"/>
    <col min="5" max="5" width="5.6328125" bestFit="1" customWidth="1"/>
    <col min="6" max="6" width="6.7265625" bestFit="1" customWidth="1"/>
    <col min="7" max="7" width="12.6328125" bestFit="1" customWidth="1"/>
    <col min="8" max="8" width="11.7265625" bestFit="1" customWidth="1"/>
    <col min="9" max="9" width="10.81640625" bestFit="1" customWidth="1"/>
    <col min="10" max="10" width="13.1796875" bestFit="1" customWidth="1"/>
    <col min="11" max="11" width="9.90625" bestFit="1" customWidth="1"/>
    <col min="12" max="12" width="13.08984375" bestFit="1" customWidth="1"/>
    <col min="13" max="13" width="7.81640625" bestFit="1" customWidth="1"/>
    <col min="14" max="14" width="15.54296875" bestFit="1" customWidth="1"/>
    <col min="15" max="15" width="11.90625" bestFit="1" customWidth="1"/>
    <col min="16" max="16" width="13.26953125" bestFit="1" customWidth="1"/>
    <col min="17" max="17" width="12.08984375" bestFit="1" customWidth="1"/>
    <col min="18" max="18" width="21.1796875" bestFit="1" customWidth="1"/>
    <col min="19" max="19" width="10.81640625" bestFit="1" customWidth="1"/>
    <col min="20" max="20" width="13.1796875" bestFit="1" customWidth="1"/>
  </cols>
  <sheetData>
    <row r="1" spans="1:20" x14ac:dyDescent="0.35">
      <c r="A1" s="18" t="s">
        <v>42</v>
      </c>
      <c r="B1" s="19" t="s">
        <v>1</v>
      </c>
      <c r="C1" s="19" t="s">
        <v>43</v>
      </c>
      <c r="D1" s="19" t="s">
        <v>2</v>
      </c>
      <c r="E1" s="19" t="s">
        <v>3</v>
      </c>
      <c r="F1" s="19" t="s">
        <v>53</v>
      </c>
      <c r="G1" s="19" t="s">
        <v>44</v>
      </c>
      <c r="H1" s="19" t="s">
        <v>45</v>
      </c>
      <c r="I1" s="19" t="s">
        <v>46</v>
      </c>
      <c r="J1" s="19" t="s">
        <v>47</v>
      </c>
      <c r="K1" s="19" t="s">
        <v>4</v>
      </c>
      <c r="L1" s="19" t="s">
        <v>61</v>
      </c>
      <c r="M1" s="19" t="s">
        <v>37</v>
      </c>
      <c r="N1" s="19" t="s">
        <v>38</v>
      </c>
      <c r="O1" s="19" t="s">
        <v>48</v>
      </c>
      <c r="P1" s="19" t="s">
        <v>49</v>
      </c>
      <c r="Q1" s="19" t="s">
        <v>51</v>
      </c>
      <c r="R1" s="19" t="s">
        <v>52</v>
      </c>
      <c r="S1" s="19" t="s">
        <v>46</v>
      </c>
      <c r="T1" s="19" t="s">
        <v>47</v>
      </c>
    </row>
    <row r="2" spans="1:20" ht="15.5" x14ac:dyDescent="0.35">
      <c r="A2" s="18">
        <v>1</v>
      </c>
      <c r="B2" s="18" t="s">
        <v>171</v>
      </c>
      <c r="C2" s="18">
        <v>9.5</v>
      </c>
      <c r="D2" s="18">
        <v>4</v>
      </c>
      <c r="E2" s="18">
        <v>22</v>
      </c>
      <c r="F2" s="18">
        <v>21</v>
      </c>
      <c r="G2" s="20">
        <f>F2*C2</f>
        <v>199.5</v>
      </c>
      <c r="H2" s="18">
        <v>855</v>
      </c>
      <c r="I2" s="20">
        <f>+H2/E2</f>
        <v>38.863636363636367</v>
      </c>
      <c r="J2" s="20">
        <f>I2/C2</f>
        <v>4.0909090909090908</v>
      </c>
      <c r="K2" s="27">
        <v>4</v>
      </c>
      <c r="L2" s="20">
        <f>IFERROR(((H2/F2)/$C$2)," ")</f>
        <v>4.2857142857142856</v>
      </c>
      <c r="M2" s="13" t="s">
        <v>173</v>
      </c>
      <c r="N2" s="18" t="s">
        <v>64</v>
      </c>
      <c r="O2" s="22" t="s">
        <v>40</v>
      </c>
      <c r="P2" s="22" t="s">
        <v>50</v>
      </c>
      <c r="Q2" s="13"/>
      <c r="R2" s="13"/>
      <c r="S2" s="7" t="str">
        <f>IFERROR((H2/R2)," ")</f>
        <v xml:space="preserve"> </v>
      </c>
      <c r="T2" s="7" t="str">
        <f>IFERROR((S2/$C$2)," ")</f>
        <v xml:space="preserve"> </v>
      </c>
    </row>
    <row r="3" spans="1:20" x14ac:dyDescent="0.35">
      <c r="A3" s="18">
        <v>2</v>
      </c>
      <c r="B3" s="18" t="s">
        <v>172</v>
      </c>
      <c r="C3" s="18">
        <v>9.5</v>
      </c>
      <c r="D3" s="20">
        <v>0.9</v>
      </c>
      <c r="E3" s="21">
        <f>60/D3</f>
        <v>66.666666666666671</v>
      </c>
      <c r="F3" s="18">
        <v>67</v>
      </c>
      <c r="G3" s="20">
        <f>F3*C3</f>
        <v>636.5</v>
      </c>
      <c r="H3" s="18">
        <v>855</v>
      </c>
      <c r="I3" s="20">
        <f>+H3/E3</f>
        <v>12.824999999999999</v>
      </c>
      <c r="J3" s="20">
        <f>I3/C3</f>
        <v>1.3499999999999999</v>
      </c>
      <c r="K3" s="13">
        <v>2</v>
      </c>
      <c r="L3" s="20">
        <f>IFERROR(((H3/F3)/$C$2)," ")</f>
        <v>1.3432835820895521</v>
      </c>
      <c r="M3" s="13" t="s">
        <v>173</v>
      </c>
      <c r="N3" s="18" t="s">
        <v>16</v>
      </c>
      <c r="O3" s="18" t="s">
        <v>39</v>
      </c>
      <c r="P3" s="22" t="s">
        <v>50</v>
      </c>
      <c r="Q3" s="13"/>
      <c r="R3" s="13" t="s">
        <v>59</v>
      </c>
      <c r="S3" s="13"/>
      <c r="T3" s="13"/>
    </row>
    <row r="4" spans="1:20" x14ac:dyDescent="0.35">
      <c r="J4" s="30">
        <f>SUM(J2:J3)</f>
        <v>5.4409090909090905</v>
      </c>
      <c r="L4" s="30">
        <f>SUM(L2:L3)</f>
        <v>5.6289978678038377</v>
      </c>
    </row>
  </sheetData>
  <pageMargins left="0.25" right="0.25" top="0.75" bottom="0.75" header="0.3" footer="0.3"/>
  <pageSetup scale="4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774C7-4D68-4053-9CFA-B9339ADB5DE2}">
  <sheetPr>
    <tabColor theme="9" tint="0.79998168889431442"/>
  </sheetPr>
  <dimension ref="A1:U17"/>
  <sheetViews>
    <sheetView topLeftCell="E1" zoomScale="85" zoomScaleNormal="85" workbookViewId="0">
      <selection activeCell="U2" sqref="U2:U16"/>
    </sheetView>
  </sheetViews>
  <sheetFormatPr baseColWidth="10" defaultColWidth="11.453125" defaultRowHeight="14.5" x14ac:dyDescent="0.35"/>
  <cols>
    <col min="1" max="1" width="3.7265625" bestFit="1" customWidth="1"/>
    <col min="2" max="2" width="28.1796875" bestFit="1" customWidth="1"/>
    <col min="3" max="3" width="8.90625" bestFit="1" customWidth="1"/>
    <col min="4" max="4" width="7.1796875" bestFit="1" customWidth="1"/>
    <col min="5" max="6" width="7.54296875" bestFit="1" customWidth="1"/>
    <col min="7" max="7" width="14" bestFit="1" customWidth="1"/>
    <col min="8" max="8" width="12.90625" bestFit="1" customWidth="1"/>
    <col min="9" max="9" width="11.81640625" bestFit="1" customWidth="1"/>
    <col min="10" max="10" width="14.7265625" bestFit="1" customWidth="1"/>
    <col min="11" max="11" width="10.90625" bestFit="1" customWidth="1"/>
    <col min="12" max="12" width="14.7265625" bestFit="1" customWidth="1"/>
    <col min="13" max="13" width="14.453125" bestFit="1" customWidth="1"/>
    <col min="14" max="14" width="17.36328125" bestFit="1" customWidth="1"/>
    <col min="15" max="15" width="13.1796875" bestFit="1" customWidth="1"/>
    <col min="16" max="16" width="14.81640625" bestFit="1" customWidth="1"/>
    <col min="17" max="17" width="13.1796875" bestFit="1" customWidth="1"/>
    <col min="18" max="18" width="11.26953125" bestFit="1" customWidth="1"/>
    <col min="19" max="19" width="11.81640625" bestFit="1" customWidth="1"/>
    <col min="20" max="20" width="14.7265625" bestFit="1" customWidth="1"/>
  </cols>
  <sheetData>
    <row r="1" spans="1:21" ht="15.5" x14ac:dyDescent="0.35">
      <c r="A1" s="5" t="s">
        <v>42</v>
      </c>
      <c r="B1" s="3" t="s">
        <v>1</v>
      </c>
      <c r="C1" s="3" t="s">
        <v>43</v>
      </c>
      <c r="D1" s="3" t="s">
        <v>2</v>
      </c>
      <c r="E1" s="3" t="s">
        <v>3</v>
      </c>
      <c r="F1" s="3" t="s">
        <v>53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</v>
      </c>
      <c r="L1" s="3" t="s">
        <v>61</v>
      </c>
      <c r="M1" s="3" t="s">
        <v>37</v>
      </c>
      <c r="N1" s="3" t="s">
        <v>38</v>
      </c>
      <c r="O1" s="3" t="s">
        <v>48</v>
      </c>
      <c r="P1" s="3" t="s">
        <v>49</v>
      </c>
      <c r="Q1" s="3" t="s">
        <v>51</v>
      </c>
      <c r="R1" s="3" t="s">
        <v>196</v>
      </c>
      <c r="S1" s="3" t="s">
        <v>46</v>
      </c>
      <c r="T1" s="3" t="s">
        <v>47</v>
      </c>
      <c r="U1" s="3" t="s">
        <v>230</v>
      </c>
    </row>
    <row r="2" spans="1:21" ht="15.5" x14ac:dyDescent="0.35">
      <c r="A2" s="5">
        <v>1</v>
      </c>
      <c r="B2" s="3" t="s">
        <v>213</v>
      </c>
      <c r="C2" s="5">
        <v>9.5</v>
      </c>
      <c r="D2" s="7">
        <v>0.54</v>
      </c>
      <c r="E2" s="6">
        <f t="shared" ref="E2:E16" si="0">60/D2</f>
        <v>111.1111111111111</v>
      </c>
      <c r="F2" s="6">
        <v>110</v>
      </c>
      <c r="G2" s="6">
        <f>C2*F2</f>
        <v>1045</v>
      </c>
      <c r="H2" s="6">
        <v>855</v>
      </c>
      <c r="I2" s="7">
        <f>+H2/E2</f>
        <v>7.6950000000000012</v>
      </c>
      <c r="J2" s="7">
        <f>I2/C2</f>
        <v>0.81000000000000016</v>
      </c>
      <c r="K2" s="6">
        <v>1</v>
      </c>
      <c r="L2" s="7">
        <f>IFERROR(((H2/F2)/$C$2)," ")</f>
        <v>0.81818181818181812</v>
      </c>
      <c r="M2" s="8" t="s">
        <v>212</v>
      </c>
      <c r="N2" s="5" t="s">
        <v>14</v>
      </c>
      <c r="O2" s="5" t="s">
        <v>41</v>
      </c>
      <c r="P2" s="9" t="s">
        <v>50</v>
      </c>
      <c r="Q2" s="6">
        <v>86</v>
      </c>
      <c r="R2" s="3">
        <v>110</v>
      </c>
      <c r="S2" s="7">
        <f>IFERROR((H2/R2)," ")</f>
        <v>7.7727272727272725</v>
      </c>
      <c r="T2" s="7">
        <f>IFERROR((S2/$C$2)," ")</f>
        <v>0.81818181818181812</v>
      </c>
      <c r="U2" s="7">
        <f>60/R2</f>
        <v>0.54545454545454541</v>
      </c>
    </row>
    <row r="3" spans="1:21" ht="15.5" x14ac:dyDescent="0.35">
      <c r="A3" s="5">
        <v>2</v>
      </c>
      <c r="B3" s="3" t="s">
        <v>28</v>
      </c>
      <c r="C3" s="5">
        <v>9.5</v>
      </c>
      <c r="D3" s="7">
        <v>0.66</v>
      </c>
      <c r="E3" s="6">
        <f t="shared" si="0"/>
        <v>90.909090909090907</v>
      </c>
      <c r="F3" s="6">
        <v>90</v>
      </c>
      <c r="G3" s="6">
        <f t="shared" ref="G3:G16" si="1">C3*F3</f>
        <v>855</v>
      </c>
      <c r="H3" s="6">
        <v>855</v>
      </c>
      <c r="I3" s="7">
        <f t="shared" ref="I3:I15" si="2">+H3/E3</f>
        <v>9.4050000000000011</v>
      </c>
      <c r="J3" s="7">
        <f t="shared" ref="J3:J15" si="3">I3/C3</f>
        <v>0.9900000000000001</v>
      </c>
      <c r="K3" s="6">
        <v>1</v>
      </c>
      <c r="L3" s="7">
        <f t="shared" ref="L3:L16" si="4">IFERROR(((H3/F3)/$C$2)," ")</f>
        <v>1</v>
      </c>
      <c r="M3" s="8" t="s">
        <v>212</v>
      </c>
      <c r="N3" s="5" t="s">
        <v>14</v>
      </c>
      <c r="O3" s="5" t="s">
        <v>41</v>
      </c>
      <c r="P3" s="9" t="s">
        <v>50</v>
      </c>
      <c r="Q3" s="6">
        <v>86</v>
      </c>
      <c r="R3" s="3">
        <v>91</v>
      </c>
      <c r="S3" s="7">
        <f t="shared" ref="S3:S16" si="5">IFERROR((H3/R3)," ")</f>
        <v>9.395604395604396</v>
      </c>
      <c r="T3" s="7">
        <f t="shared" ref="T3:T16" si="6">IFERROR((S3/$C$2)," ")</f>
        <v>0.98901098901098905</v>
      </c>
      <c r="U3" s="7">
        <f t="shared" ref="U3:U16" si="7">60/R3</f>
        <v>0.65934065934065933</v>
      </c>
    </row>
    <row r="4" spans="1:21" ht="15.5" x14ac:dyDescent="0.35">
      <c r="A4" s="5">
        <v>3</v>
      </c>
      <c r="B4" s="3" t="s">
        <v>214</v>
      </c>
      <c r="C4" s="5">
        <v>9.5</v>
      </c>
      <c r="D4" s="7">
        <v>0.66</v>
      </c>
      <c r="E4" s="6">
        <f t="shared" si="0"/>
        <v>90.909090909090907</v>
      </c>
      <c r="F4" s="6">
        <v>60</v>
      </c>
      <c r="G4" s="6">
        <f t="shared" si="1"/>
        <v>570</v>
      </c>
      <c r="H4" s="6">
        <v>855</v>
      </c>
      <c r="I4" s="7">
        <f t="shared" si="2"/>
        <v>9.4050000000000011</v>
      </c>
      <c r="J4" s="7">
        <f t="shared" si="3"/>
        <v>0.9900000000000001</v>
      </c>
      <c r="K4" s="6">
        <v>1</v>
      </c>
      <c r="L4" s="7">
        <f t="shared" si="4"/>
        <v>1.5</v>
      </c>
      <c r="M4" s="8" t="s">
        <v>212</v>
      </c>
      <c r="N4" s="5" t="s">
        <v>215</v>
      </c>
      <c r="O4" s="5" t="s">
        <v>41</v>
      </c>
      <c r="P4" s="9" t="s">
        <v>50</v>
      </c>
      <c r="Q4" s="6">
        <v>85</v>
      </c>
      <c r="R4" s="3">
        <v>91</v>
      </c>
      <c r="S4" s="7">
        <f t="shared" si="5"/>
        <v>9.395604395604396</v>
      </c>
      <c r="T4" s="7">
        <f t="shared" si="6"/>
        <v>0.98901098901098905</v>
      </c>
      <c r="U4" s="7">
        <f t="shared" si="7"/>
        <v>0.65934065934065933</v>
      </c>
    </row>
    <row r="5" spans="1:21" ht="15.5" x14ac:dyDescent="0.35">
      <c r="A5" s="5">
        <v>4</v>
      </c>
      <c r="B5" s="3" t="s">
        <v>216</v>
      </c>
      <c r="C5" s="5">
        <v>9.5</v>
      </c>
      <c r="D5" s="7">
        <v>0.66</v>
      </c>
      <c r="E5" s="6">
        <f t="shared" si="0"/>
        <v>90.909090909090907</v>
      </c>
      <c r="F5" s="6">
        <v>90</v>
      </c>
      <c r="G5" s="6">
        <f t="shared" si="1"/>
        <v>855</v>
      </c>
      <c r="H5" s="6">
        <v>855</v>
      </c>
      <c r="I5" s="7">
        <f t="shared" si="2"/>
        <v>9.4050000000000011</v>
      </c>
      <c r="J5" s="7">
        <f t="shared" si="3"/>
        <v>0.9900000000000001</v>
      </c>
      <c r="K5" s="6">
        <v>1</v>
      </c>
      <c r="L5" s="7">
        <f t="shared" si="4"/>
        <v>1</v>
      </c>
      <c r="M5" s="8" t="s">
        <v>212</v>
      </c>
      <c r="N5" s="5" t="s">
        <v>217</v>
      </c>
      <c r="O5" s="5" t="s">
        <v>41</v>
      </c>
      <c r="P5" s="9" t="s">
        <v>50</v>
      </c>
      <c r="Q5" s="6">
        <v>87</v>
      </c>
      <c r="R5" s="3">
        <v>91</v>
      </c>
      <c r="S5" s="7">
        <f t="shared" si="5"/>
        <v>9.395604395604396</v>
      </c>
      <c r="T5" s="7">
        <f t="shared" si="6"/>
        <v>0.98901098901098905</v>
      </c>
      <c r="U5" s="7">
        <f t="shared" si="7"/>
        <v>0.65934065934065933</v>
      </c>
    </row>
    <row r="6" spans="1:21" ht="15.5" x14ac:dyDescent="0.35">
      <c r="A6" s="5">
        <v>5</v>
      </c>
      <c r="B6" s="3" t="s">
        <v>218</v>
      </c>
      <c r="C6" s="5">
        <v>9.5</v>
      </c>
      <c r="D6" s="7">
        <v>0.66</v>
      </c>
      <c r="E6" s="6">
        <f t="shared" si="0"/>
        <v>90.909090909090907</v>
      </c>
      <c r="F6" s="6">
        <v>60</v>
      </c>
      <c r="G6" s="6">
        <f t="shared" si="1"/>
        <v>570</v>
      </c>
      <c r="H6" s="6">
        <v>855</v>
      </c>
      <c r="I6" s="7">
        <f t="shared" si="2"/>
        <v>9.4050000000000011</v>
      </c>
      <c r="J6" s="7">
        <f t="shared" si="3"/>
        <v>0.9900000000000001</v>
      </c>
      <c r="K6" s="6">
        <v>1</v>
      </c>
      <c r="L6" s="7">
        <f t="shared" si="4"/>
        <v>1.5</v>
      </c>
      <c r="M6" s="8" t="s">
        <v>212</v>
      </c>
      <c r="N6" s="5" t="s">
        <v>14</v>
      </c>
      <c r="O6" s="5" t="s">
        <v>41</v>
      </c>
      <c r="P6" s="9" t="s">
        <v>50</v>
      </c>
      <c r="Q6" s="6">
        <v>80</v>
      </c>
      <c r="R6" s="3">
        <v>91</v>
      </c>
      <c r="S6" s="7">
        <f t="shared" si="5"/>
        <v>9.395604395604396</v>
      </c>
      <c r="T6" s="7">
        <f t="shared" si="6"/>
        <v>0.98901098901098905</v>
      </c>
      <c r="U6" s="7">
        <f t="shared" si="7"/>
        <v>0.65934065934065933</v>
      </c>
    </row>
    <row r="7" spans="1:21" ht="15.5" x14ac:dyDescent="0.35">
      <c r="A7" s="5">
        <v>6</v>
      </c>
      <c r="B7" s="3" t="s">
        <v>89</v>
      </c>
      <c r="C7" s="5">
        <v>9.5</v>
      </c>
      <c r="D7" s="7">
        <v>2</v>
      </c>
      <c r="E7" s="6">
        <f t="shared" si="0"/>
        <v>30</v>
      </c>
      <c r="F7" s="6">
        <v>30</v>
      </c>
      <c r="G7" s="6">
        <f t="shared" si="1"/>
        <v>285</v>
      </c>
      <c r="H7" s="6">
        <v>855</v>
      </c>
      <c r="I7" s="7">
        <f t="shared" si="2"/>
        <v>28.5</v>
      </c>
      <c r="J7" s="7">
        <f t="shared" si="3"/>
        <v>3</v>
      </c>
      <c r="K7" s="6">
        <v>3</v>
      </c>
      <c r="L7" s="7">
        <f t="shared" si="4"/>
        <v>3</v>
      </c>
      <c r="M7" s="8" t="s">
        <v>212</v>
      </c>
      <c r="N7" s="5" t="s">
        <v>27</v>
      </c>
      <c r="O7" s="5" t="s">
        <v>41</v>
      </c>
      <c r="P7" s="9" t="s">
        <v>50</v>
      </c>
      <c r="Q7" s="6">
        <v>30</v>
      </c>
      <c r="R7" s="3">
        <v>30</v>
      </c>
      <c r="S7" s="7">
        <f t="shared" si="5"/>
        <v>28.5</v>
      </c>
      <c r="T7" s="7">
        <f t="shared" si="6"/>
        <v>3</v>
      </c>
      <c r="U7" s="7">
        <f t="shared" si="7"/>
        <v>2</v>
      </c>
    </row>
    <row r="8" spans="1:21" ht="15.5" x14ac:dyDescent="0.35">
      <c r="A8" s="5">
        <v>7</v>
      </c>
      <c r="B8" s="3" t="s">
        <v>219</v>
      </c>
      <c r="C8" s="5">
        <v>9.5</v>
      </c>
      <c r="D8" s="7">
        <v>0.54</v>
      </c>
      <c r="E8" s="6">
        <f t="shared" si="0"/>
        <v>111.1111111111111</v>
      </c>
      <c r="F8" s="6">
        <v>120</v>
      </c>
      <c r="G8" s="6">
        <f t="shared" si="1"/>
        <v>1140</v>
      </c>
      <c r="H8" s="6">
        <v>855</v>
      </c>
      <c r="I8" s="7">
        <f t="shared" si="2"/>
        <v>7.6950000000000012</v>
      </c>
      <c r="J8" s="7">
        <f t="shared" si="3"/>
        <v>0.81000000000000016</v>
      </c>
      <c r="K8" s="6">
        <v>1</v>
      </c>
      <c r="L8" s="7">
        <f t="shared" si="4"/>
        <v>0.75</v>
      </c>
      <c r="M8" s="8" t="s">
        <v>212</v>
      </c>
      <c r="N8" s="5" t="s">
        <v>16</v>
      </c>
      <c r="O8" s="5" t="s">
        <v>39</v>
      </c>
      <c r="P8" s="9" t="s">
        <v>50</v>
      </c>
      <c r="Q8" s="6" t="s">
        <v>57</v>
      </c>
      <c r="R8" s="3">
        <v>120</v>
      </c>
      <c r="S8" s="7">
        <f t="shared" si="5"/>
        <v>7.125</v>
      </c>
      <c r="T8" s="7">
        <f t="shared" si="6"/>
        <v>0.75</v>
      </c>
      <c r="U8" s="7">
        <f t="shared" si="7"/>
        <v>0.5</v>
      </c>
    </row>
    <row r="9" spans="1:21" ht="15.5" x14ac:dyDescent="0.35">
      <c r="A9" s="5">
        <v>8</v>
      </c>
      <c r="B9" s="3" t="s">
        <v>220</v>
      </c>
      <c r="C9" s="5">
        <v>9.5</v>
      </c>
      <c r="D9" s="7">
        <v>0.22</v>
      </c>
      <c r="E9" s="6">
        <f t="shared" si="0"/>
        <v>272.72727272727275</v>
      </c>
      <c r="F9" s="6">
        <v>273</v>
      </c>
      <c r="G9" s="6">
        <f t="shared" si="1"/>
        <v>2593.5</v>
      </c>
      <c r="H9" s="6">
        <v>855</v>
      </c>
      <c r="I9" s="7">
        <f t="shared" si="2"/>
        <v>3.1349999999999998</v>
      </c>
      <c r="J9" s="7">
        <f t="shared" si="3"/>
        <v>0.32999999999999996</v>
      </c>
      <c r="K9" s="6">
        <v>1</v>
      </c>
      <c r="L9" s="7">
        <f t="shared" si="4"/>
        <v>0.32967032967032966</v>
      </c>
      <c r="M9" s="8" t="s">
        <v>212</v>
      </c>
      <c r="N9" s="5" t="s">
        <v>221</v>
      </c>
      <c r="O9" s="5" t="s">
        <v>40</v>
      </c>
      <c r="P9" s="9" t="s">
        <v>50</v>
      </c>
      <c r="Q9" s="6">
        <v>100</v>
      </c>
      <c r="R9" s="3">
        <v>273</v>
      </c>
      <c r="S9" s="7">
        <f t="shared" si="5"/>
        <v>3.1318681318681318</v>
      </c>
      <c r="T9" s="7">
        <f t="shared" si="6"/>
        <v>0.32967032967032966</v>
      </c>
      <c r="U9" s="7">
        <f t="shared" si="7"/>
        <v>0.21978021978021978</v>
      </c>
    </row>
    <row r="10" spans="1:21" ht="15.5" x14ac:dyDescent="0.35">
      <c r="A10" s="5">
        <v>9</v>
      </c>
      <c r="B10" s="3" t="s">
        <v>222</v>
      </c>
      <c r="C10" s="5">
        <v>9.5</v>
      </c>
      <c r="D10" s="7">
        <v>0.7</v>
      </c>
      <c r="E10" s="6">
        <f t="shared" si="0"/>
        <v>85.714285714285722</v>
      </c>
      <c r="F10" s="6">
        <v>85</v>
      </c>
      <c r="G10" s="6">
        <f t="shared" si="1"/>
        <v>807.5</v>
      </c>
      <c r="H10" s="6">
        <v>855</v>
      </c>
      <c r="I10" s="7">
        <f t="shared" si="2"/>
        <v>9.9749999999999996</v>
      </c>
      <c r="J10" s="7">
        <f t="shared" si="3"/>
        <v>1.05</v>
      </c>
      <c r="K10" s="6">
        <v>1</v>
      </c>
      <c r="L10" s="7">
        <f t="shared" si="4"/>
        <v>1.0588235294117647</v>
      </c>
      <c r="M10" s="8" t="s">
        <v>212</v>
      </c>
      <c r="N10" s="5" t="s">
        <v>223</v>
      </c>
      <c r="O10" s="5" t="s">
        <v>40</v>
      </c>
      <c r="P10" s="9" t="s">
        <v>50</v>
      </c>
      <c r="Q10" s="6">
        <v>85</v>
      </c>
      <c r="R10" s="3">
        <v>120</v>
      </c>
      <c r="S10" s="7">
        <f t="shared" si="5"/>
        <v>7.125</v>
      </c>
      <c r="T10" s="7">
        <f t="shared" si="6"/>
        <v>0.75</v>
      </c>
      <c r="U10" s="7">
        <f t="shared" si="7"/>
        <v>0.5</v>
      </c>
    </row>
    <row r="11" spans="1:21" ht="15.5" x14ac:dyDescent="0.35">
      <c r="A11" s="12">
        <v>9.1</v>
      </c>
      <c r="B11" s="35" t="s">
        <v>222</v>
      </c>
      <c r="C11" s="12">
        <v>9.5</v>
      </c>
      <c r="D11" s="31">
        <v>1.71</v>
      </c>
      <c r="E11" s="32">
        <f t="shared" si="0"/>
        <v>35.087719298245617</v>
      </c>
      <c r="F11" s="32">
        <v>35</v>
      </c>
      <c r="G11" s="32">
        <f t="shared" si="1"/>
        <v>332.5</v>
      </c>
      <c r="H11" s="32">
        <v>855</v>
      </c>
      <c r="I11" s="31">
        <f t="shared" si="2"/>
        <v>24.3675</v>
      </c>
      <c r="J11" s="31">
        <f t="shared" si="3"/>
        <v>2.5649999999999999</v>
      </c>
      <c r="K11" s="32">
        <v>3</v>
      </c>
      <c r="L11" s="31">
        <f t="shared" si="4"/>
        <v>2.5714285714285712</v>
      </c>
      <c r="M11" s="47" t="s">
        <v>212</v>
      </c>
      <c r="N11" s="12" t="s">
        <v>224</v>
      </c>
      <c r="O11" s="12" t="s">
        <v>39</v>
      </c>
      <c r="P11" s="48" t="s">
        <v>50</v>
      </c>
      <c r="Q11" s="32" t="s">
        <v>180</v>
      </c>
      <c r="R11" s="35" t="s">
        <v>59</v>
      </c>
      <c r="S11" s="7" t="str">
        <f t="shared" si="5"/>
        <v xml:space="preserve"> </v>
      </c>
      <c r="T11" s="7" t="str">
        <f t="shared" si="6"/>
        <v xml:space="preserve"> </v>
      </c>
      <c r="U11" s="7"/>
    </row>
    <row r="12" spans="1:21" ht="15.5" x14ac:dyDescent="0.35">
      <c r="A12" s="5">
        <v>10</v>
      </c>
      <c r="B12" s="3" t="s">
        <v>225</v>
      </c>
      <c r="C12" s="5">
        <v>9.5</v>
      </c>
      <c r="D12" s="7">
        <v>1.6</v>
      </c>
      <c r="E12" s="6">
        <f t="shared" si="0"/>
        <v>37.5</v>
      </c>
      <c r="F12" s="6">
        <v>37</v>
      </c>
      <c r="G12" s="6">
        <f t="shared" si="1"/>
        <v>351.5</v>
      </c>
      <c r="H12" s="6">
        <v>855</v>
      </c>
      <c r="I12" s="7">
        <f t="shared" si="2"/>
        <v>22.8</v>
      </c>
      <c r="J12" s="7">
        <f t="shared" si="3"/>
        <v>2.4</v>
      </c>
      <c r="K12" s="6">
        <v>3</v>
      </c>
      <c r="L12" s="7">
        <f t="shared" si="4"/>
        <v>2.4324324324324325</v>
      </c>
      <c r="M12" s="8" t="s">
        <v>212</v>
      </c>
      <c r="N12" s="5" t="s">
        <v>16</v>
      </c>
      <c r="O12" s="5" t="s">
        <v>39</v>
      </c>
      <c r="P12" s="9" t="s">
        <v>50</v>
      </c>
      <c r="Q12" s="6">
        <v>30</v>
      </c>
      <c r="R12" s="3">
        <v>40</v>
      </c>
      <c r="S12" s="7">
        <f t="shared" si="5"/>
        <v>21.375</v>
      </c>
      <c r="T12" s="7">
        <f t="shared" si="6"/>
        <v>2.25</v>
      </c>
      <c r="U12" s="7">
        <f t="shared" si="7"/>
        <v>1.5</v>
      </c>
    </row>
    <row r="13" spans="1:21" ht="15.5" x14ac:dyDescent="0.35">
      <c r="A13" s="5">
        <v>11</v>
      </c>
      <c r="B13" s="3" t="s">
        <v>226</v>
      </c>
      <c r="C13" s="5">
        <v>9.5</v>
      </c>
      <c r="D13" s="7">
        <v>1.38</v>
      </c>
      <c r="E13" s="6">
        <f t="shared" si="0"/>
        <v>43.478260869565219</v>
      </c>
      <c r="F13" s="6">
        <v>40</v>
      </c>
      <c r="G13" s="6">
        <f t="shared" si="1"/>
        <v>380</v>
      </c>
      <c r="H13" s="6">
        <v>855</v>
      </c>
      <c r="I13" s="7">
        <f t="shared" si="2"/>
        <v>19.664999999999999</v>
      </c>
      <c r="J13" s="7">
        <f t="shared" si="3"/>
        <v>2.0699999999999998</v>
      </c>
      <c r="K13" s="6">
        <v>2</v>
      </c>
      <c r="L13" s="7">
        <f t="shared" si="4"/>
        <v>2.25</v>
      </c>
      <c r="M13" s="8" t="s">
        <v>212</v>
      </c>
      <c r="N13" s="5" t="s">
        <v>16</v>
      </c>
      <c r="O13" s="5" t="s">
        <v>39</v>
      </c>
      <c r="P13" s="9" t="s">
        <v>50</v>
      </c>
      <c r="Q13" s="6">
        <v>35</v>
      </c>
      <c r="R13" s="3">
        <v>45</v>
      </c>
      <c r="S13" s="7">
        <f t="shared" si="5"/>
        <v>19</v>
      </c>
      <c r="T13" s="7">
        <f t="shared" si="6"/>
        <v>2</v>
      </c>
      <c r="U13" s="7">
        <f t="shared" si="7"/>
        <v>1.3333333333333333</v>
      </c>
    </row>
    <row r="14" spans="1:21" ht="15.5" x14ac:dyDescent="0.35">
      <c r="A14" s="5">
        <v>12</v>
      </c>
      <c r="B14" s="3" t="s">
        <v>227</v>
      </c>
      <c r="C14" s="5">
        <v>9.5</v>
      </c>
      <c r="D14" s="7">
        <v>0.7</v>
      </c>
      <c r="E14" s="6">
        <f t="shared" si="0"/>
        <v>85.714285714285722</v>
      </c>
      <c r="F14" s="6">
        <v>95</v>
      </c>
      <c r="G14" s="6">
        <f t="shared" si="1"/>
        <v>902.5</v>
      </c>
      <c r="H14" s="6">
        <v>855</v>
      </c>
      <c r="I14" s="7">
        <f t="shared" si="2"/>
        <v>9.9749999999999996</v>
      </c>
      <c r="J14" s="7">
        <f t="shared" si="3"/>
        <v>1.05</v>
      </c>
      <c r="K14" s="6">
        <v>1</v>
      </c>
      <c r="L14" s="7">
        <f t="shared" si="4"/>
        <v>0.94736842105263153</v>
      </c>
      <c r="M14" s="8" t="s">
        <v>212</v>
      </c>
      <c r="N14" s="5" t="s">
        <v>102</v>
      </c>
      <c r="O14" s="5" t="s">
        <v>41</v>
      </c>
      <c r="P14" s="9" t="s">
        <v>50</v>
      </c>
      <c r="Q14" s="6">
        <v>85</v>
      </c>
      <c r="R14" s="3">
        <v>95</v>
      </c>
      <c r="S14" s="7">
        <f t="shared" si="5"/>
        <v>9</v>
      </c>
      <c r="T14" s="7">
        <f t="shared" si="6"/>
        <v>0.94736842105263153</v>
      </c>
      <c r="U14" s="7">
        <f t="shared" si="7"/>
        <v>0.63157894736842102</v>
      </c>
    </row>
    <row r="15" spans="1:21" ht="15.5" x14ac:dyDescent="0.35">
      <c r="A15" s="5">
        <v>13</v>
      </c>
      <c r="B15" s="3" t="s">
        <v>228</v>
      </c>
      <c r="C15" s="5">
        <v>9.5</v>
      </c>
      <c r="D15" s="7">
        <v>1</v>
      </c>
      <c r="E15" s="6">
        <f t="shared" si="0"/>
        <v>60</v>
      </c>
      <c r="F15" s="6">
        <v>75</v>
      </c>
      <c r="G15" s="6">
        <f t="shared" si="1"/>
        <v>712.5</v>
      </c>
      <c r="H15" s="6">
        <v>855</v>
      </c>
      <c r="I15" s="7">
        <f t="shared" si="2"/>
        <v>14.25</v>
      </c>
      <c r="J15" s="7">
        <f t="shared" si="3"/>
        <v>1.5</v>
      </c>
      <c r="K15" s="6">
        <v>2</v>
      </c>
      <c r="L15" s="7">
        <f t="shared" si="4"/>
        <v>1.2</v>
      </c>
      <c r="M15" s="8" t="s">
        <v>212</v>
      </c>
      <c r="N15" s="5" t="s">
        <v>14</v>
      </c>
      <c r="O15" s="5" t="s">
        <v>41</v>
      </c>
      <c r="P15" s="9" t="s">
        <v>50</v>
      </c>
      <c r="Q15" s="6">
        <v>70</v>
      </c>
      <c r="R15" s="3">
        <v>75</v>
      </c>
      <c r="S15" s="7">
        <f t="shared" si="5"/>
        <v>11.4</v>
      </c>
      <c r="T15" s="7">
        <f t="shared" si="6"/>
        <v>1.2</v>
      </c>
      <c r="U15" s="7">
        <f t="shared" si="7"/>
        <v>0.8</v>
      </c>
    </row>
    <row r="16" spans="1:21" ht="15.5" x14ac:dyDescent="0.35">
      <c r="A16" s="5">
        <v>14</v>
      </c>
      <c r="B16" s="3" t="s">
        <v>229</v>
      </c>
      <c r="C16" s="5">
        <v>9.5</v>
      </c>
      <c r="D16" s="7">
        <v>1.6</v>
      </c>
      <c r="E16" s="6">
        <f t="shared" si="0"/>
        <v>37.5</v>
      </c>
      <c r="F16" s="6">
        <v>37</v>
      </c>
      <c r="G16" s="6">
        <f t="shared" si="1"/>
        <v>351.5</v>
      </c>
      <c r="H16" s="6">
        <v>855</v>
      </c>
      <c r="I16" s="7">
        <f>+H16/E16</f>
        <v>22.8</v>
      </c>
      <c r="J16" s="7">
        <f>I16/C16</f>
        <v>2.4</v>
      </c>
      <c r="K16" s="6">
        <v>3</v>
      </c>
      <c r="L16" s="7">
        <f t="shared" si="4"/>
        <v>2.4324324324324325</v>
      </c>
      <c r="M16" s="8" t="s">
        <v>212</v>
      </c>
      <c r="N16" s="5" t="s">
        <v>102</v>
      </c>
      <c r="O16" s="5" t="s">
        <v>41</v>
      </c>
      <c r="P16" s="9" t="s">
        <v>50</v>
      </c>
      <c r="Q16" s="6">
        <v>80</v>
      </c>
      <c r="R16" s="3">
        <v>80</v>
      </c>
      <c r="S16" s="7">
        <f t="shared" si="5"/>
        <v>10.6875</v>
      </c>
      <c r="T16" s="7">
        <f t="shared" si="6"/>
        <v>1.125</v>
      </c>
      <c r="U16" s="7">
        <f t="shared" si="7"/>
        <v>0.75</v>
      </c>
    </row>
    <row r="17" spans="10:20" x14ac:dyDescent="0.35">
      <c r="J17" s="2">
        <f>SUM(J2:J16)</f>
        <v>21.945</v>
      </c>
      <c r="K17" s="1"/>
      <c r="L17" s="2">
        <f>SUM(L2:L16)</f>
        <v>22.790337534609979</v>
      </c>
      <c r="T17" s="2">
        <f>SUM(T2:T16)</f>
        <v>17.126264524948738</v>
      </c>
    </row>
  </sheetData>
  <pageMargins left="0.11811023622047245" right="0.11811023622047245" top="0.55118110236220474" bottom="0.55118110236220474" header="0.31496062992125984" footer="0.31496062992125984"/>
  <pageSetup scale="5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</vt:i4>
      </vt:variant>
    </vt:vector>
  </HeadingPairs>
  <TitlesOfParts>
    <vt:vector size="11" baseType="lpstr">
      <vt:lpstr>Operaciones_Tiempos</vt:lpstr>
      <vt:lpstr>Delanteros</vt:lpstr>
      <vt:lpstr>Delanteros piezas chicas</vt:lpstr>
      <vt:lpstr>Vistas</vt:lpstr>
      <vt:lpstr>Mangas</vt:lpstr>
      <vt:lpstr>Cuellos</vt:lpstr>
      <vt:lpstr>Ensamble</vt:lpstr>
      <vt:lpstr>Terminado</vt:lpstr>
      <vt:lpstr>AMF</vt:lpstr>
      <vt:lpstr>Plachado Final</vt:lpstr>
      <vt:lpstr>Delanteros!Área_de_impresión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Jorge Enrique Piñan</dc:creator>
  <cp:lastModifiedBy>Ing. Jorge Enrique Piñan</cp:lastModifiedBy>
  <cp:lastPrinted>2026-01-19T17:45:10Z</cp:lastPrinted>
  <dcterms:created xsi:type="dcterms:W3CDTF">2026-01-12T18:34:24Z</dcterms:created>
  <dcterms:modified xsi:type="dcterms:W3CDTF">2026-02-03T16:04:11Z</dcterms:modified>
</cp:coreProperties>
</file>