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54fe02b8d1ccae/"/>
    </mc:Choice>
  </mc:AlternateContent>
  <xr:revisionPtr revIDLastSave="510" documentId="8_{394B8B34-8436-4DA5-A1CD-22742F58D729}" xr6:coauthVersionLast="47" xr6:coauthVersionMax="47" xr10:uidLastSave="{3EEBBD56-FE0C-486C-8FAE-C4D1AE2C4DAC}"/>
  <bookViews>
    <workbookView xWindow="-110" yWindow="-110" windowWidth="23260" windowHeight="14860" activeTab="1" xr2:uid="{F0DDB15F-6E7C-4E4C-9D9C-30E5949372DC}"/>
  </bookViews>
  <sheets>
    <sheet name="Control_Gastos" sheetId="1" r:id="rId1"/>
    <sheet name="Corte" sheetId="2" r:id="rId2"/>
    <sheet name="Sacos" sheetId="3" r:id="rId3"/>
    <sheet name="Pantalón" sheetId="4" r:id="rId4"/>
    <sheet name="Resumen" sheetId="5" r:id="rId5"/>
    <sheet name="Sueldos Admi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2" l="1"/>
  <c r="H18" i="5"/>
  <c r="F17" i="5"/>
  <c r="I73" i="6"/>
  <c r="F76" i="6"/>
  <c r="H70" i="6"/>
  <c r="D74" i="1"/>
  <c r="C73" i="1"/>
  <c r="C10" i="1"/>
  <c r="C13" i="1"/>
  <c r="C23" i="1"/>
  <c r="C24" i="1" s="1"/>
  <c r="D24" i="1" l="1"/>
  <c r="C58" i="1"/>
  <c r="C62" i="1" s="1"/>
  <c r="H73" i="6"/>
  <c r="G73" i="6"/>
  <c r="G70" i="6"/>
  <c r="F67" i="6"/>
  <c r="G67" i="6"/>
  <c r="F73" i="6"/>
  <c r="F70" i="6"/>
  <c r="G63" i="6"/>
  <c r="I62" i="6"/>
  <c r="I61" i="6"/>
  <c r="I63" i="6" s="1"/>
  <c r="F58" i="6"/>
  <c r="G57" i="6"/>
  <c r="I57" i="6" s="1"/>
  <c r="I56" i="6"/>
  <c r="I55" i="6"/>
  <c r="I54" i="6"/>
  <c r="G53" i="6"/>
  <c r="I53" i="6" s="1"/>
  <c r="I52" i="6"/>
  <c r="G51" i="6"/>
  <c r="I51" i="6" s="1"/>
  <c r="I50" i="6"/>
  <c r="I49" i="6"/>
  <c r="I48" i="6"/>
  <c r="I47" i="6"/>
  <c r="F45" i="6"/>
  <c r="I44" i="6"/>
  <c r="I43" i="6"/>
  <c r="I42" i="6"/>
  <c r="G41" i="6"/>
  <c r="I41" i="6" s="1"/>
  <c r="G40" i="6"/>
  <c r="I40" i="6" s="1"/>
  <c r="I39" i="6"/>
  <c r="G38" i="6"/>
  <c r="I38" i="6" s="1"/>
  <c r="G37" i="6"/>
  <c r="G45" i="6" s="1"/>
  <c r="I36" i="6"/>
  <c r="G34" i="6"/>
  <c r="F34" i="6"/>
  <c r="I33" i="6"/>
  <c r="I32" i="6"/>
  <c r="I31" i="6"/>
  <c r="I30" i="6"/>
  <c r="I29" i="6"/>
  <c r="I28" i="6"/>
  <c r="I27" i="6"/>
  <c r="I26" i="6"/>
  <c r="I25" i="6"/>
  <c r="I34" i="6" s="1"/>
  <c r="I24" i="6"/>
  <c r="I23" i="6"/>
  <c r="I22" i="6"/>
  <c r="G20" i="6"/>
  <c r="F19" i="6"/>
  <c r="I19" i="6" s="1"/>
  <c r="I18" i="6"/>
  <c r="I17" i="6"/>
  <c r="I16" i="6"/>
  <c r="I15" i="6"/>
  <c r="I14" i="6"/>
  <c r="I13" i="6"/>
  <c r="I12" i="6"/>
  <c r="F11" i="6"/>
  <c r="I11" i="6" s="1"/>
  <c r="I10" i="6"/>
  <c r="I9" i="6"/>
  <c r="I8" i="6"/>
  <c r="I7" i="6"/>
  <c r="I6" i="6"/>
  <c r="I5" i="6"/>
  <c r="I4" i="6"/>
  <c r="D79" i="1" l="1"/>
  <c r="C79" i="1"/>
  <c r="C80" i="1" s="1"/>
  <c r="D62" i="1"/>
  <c r="D64" i="1" s="1"/>
  <c r="D63" i="1"/>
  <c r="D70" i="1"/>
  <c r="D67" i="1"/>
  <c r="D69" i="1"/>
  <c r="D65" i="1"/>
  <c r="D66" i="1"/>
  <c r="I20" i="6"/>
  <c r="I58" i="6"/>
  <c r="G58" i="6"/>
  <c r="F20" i="6"/>
  <c r="I37" i="6"/>
  <c r="I45" i="6" s="1"/>
  <c r="I67" i="6" s="1"/>
  <c r="F58" i="1"/>
  <c r="I17" i="5"/>
  <c r="I74" i="2"/>
  <c r="F114" i="4"/>
  <c r="H209" i="3"/>
  <c r="D5" i="5"/>
  <c r="F16" i="5"/>
  <c r="F15" i="5"/>
  <c r="F18" i="5" s="1"/>
  <c r="D11" i="5"/>
  <c r="D17" i="5"/>
  <c r="D16" i="5"/>
  <c r="D15" i="5"/>
  <c r="D6" i="5"/>
  <c r="E210" i="3"/>
  <c r="G197" i="3" s="1"/>
  <c r="E102" i="4"/>
  <c r="C115" i="4"/>
  <c r="E103" i="4"/>
  <c r="E108" i="4"/>
  <c r="M92" i="4"/>
  <c r="E115" i="4"/>
  <c r="E104" i="4"/>
  <c r="G210" i="3"/>
  <c r="I194" i="3"/>
  <c r="G203" i="3"/>
  <c r="H71" i="2"/>
  <c r="N92" i="4"/>
  <c r="J95" i="4"/>
  <c r="M199" i="3"/>
  <c r="N199" i="3"/>
  <c r="G198" i="3" s="1"/>
  <c r="J194" i="3"/>
  <c r="M64" i="2"/>
  <c r="N64" i="2"/>
  <c r="I68" i="2" s="1"/>
  <c r="J64" i="2"/>
  <c r="D68" i="1" l="1"/>
  <c r="D18" i="5"/>
  <c r="D7" i="5"/>
  <c r="G199" i="3"/>
  <c r="D3" i="1"/>
  <c r="D4" i="1"/>
  <c r="D5" i="1"/>
  <c r="D6" i="1"/>
  <c r="D7" i="1"/>
  <c r="D8" i="1"/>
  <c r="D9" i="1"/>
  <c r="D11" i="1"/>
  <c r="D12" i="1"/>
  <c r="D13" i="1"/>
  <c r="D14" i="1"/>
  <c r="D15" i="1"/>
  <c r="D16" i="1"/>
  <c r="D17" i="1"/>
  <c r="D20" i="1"/>
  <c r="D22" i="1"/>
  <c r="D23" i="1"/>
  <c r="D28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9" i="1"/>
  <c r="D53" i="1"/>
  <c r="D54" i="1"/>
  <c r="D55" i="1"/>
  <c r="D56" i="1"/>
  <c r="D57" i="1"/>
  <c r="D2" i="1"/>
  <c r="C52" i="1"/>
  <c r="D52" i="1" s="1"/>
  <c r="C51" i="1"/>
  <c r="D51" i="1" s="1"/>
  <c r="C50" i="1"/>
  <c r="D50" i="1" s="1"/>
  <c r="C48" i="1"/>
  <c r="D48" i="1" s="1"/>
  <c r="C47" i="1"/>
  <c r="D47" i="1" s="1"/>
  <c r="C46" i="1"/>
  <c r="D46" i="1" s="1"/>
  <c r="C30" i="1"/>
  <c r="D30" i="1" s="1"/>
  <c r="C29" i="1"/>
  <c r="D29" i="1" s="1"/>
  <c r="C27" i="1"/>
  <c r="D27" i="1" s="1"/>
  <c r="C26" i="1"/>
  <c r="D26" i="1" s="1"/>
  <c r="C25" i="1"/>
  <c r="D25" i="1" s="1"/>
  <c r="D21" i="1"/>
  <c r="C19" i="1"/>
  <c r="D19" i="1" s="1"/>
  <c r="C18" i="1"/>
  <c r="D18" i="1" s="1"/>
  <c r="D10" i="1" l="1"/>
  <c r="D5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tc={7B5DE4AD-171B-458D-8BF0-735B9D8107D3}</author>
  </authors>
  <commentList>
    <comment ref="C21" authorId="0" shapeId="0" xr:uid="{7B5DE4AD-171B-458D-8BF0-735B9D8107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Costo del 2025 (Simulando todos con bono y con salarios del 2026</t>
      </text>
    </comment>
  </commentList>
</comments>
</file>

<file path=xl/sharedStrings.xml><?xml version="1.0" encoding="utf-8"?>
<sst xmlns="http://schemas.openxmlformats.org/spreadsheetml/2006/main" count="3028" uniqueCount="1132">
  <si>
    <t>Descripción</t>
  </si>
  <si>
    <t>Gasto Anual</t>
  </si>
  <si>
    <t>Área</t>
  </si>
  <si>
    <t>Refacciones Maquinas</t>
  </si>
  <si>
    <t>Mantenimiento</t>
  </si>
  <si>
    <t>Varios Confección (Agujas,Gredas, Carreteles y Pisa Costuras)</t>
  </si>
  <si>
    <t>Avíos Corte (Grapas Corte, Afiladores)</t>
  </si>
  <si>
    <t>Refacciones Fusionadora</t>
  </si>
  <si>
    <t>Aceite Maquinas</t>
  </si>
  <si>
    <t>Servicio Compresores</t>
  </si>
  <si>
    <t>Refacciones Caldera</t>
  </si>
  <si>
    <t>Pintura  Fin de Año (Mantenimiento edificios)</t>
  </si>
  <si>
    <t>Servicio de Quimicos Caldera</t>
  </si>
  <si>
    <t>Gas</t>
  </si>
  <si>
    <t>Servicio Telcel</t>
  </si>
  <si>
    <t>Administración</t>
  </si>
  <si>
    <t>Energía de Luz_Españoles</t>
  </si>
  <si>
    <t>Energía de Luz_Corte</t>
  </si>
  <si>
    <t>Recolección Basura Españoles</t>
  </si>
  <si>
    <t>Dirección</t>
  </si>
  <si>
    <t>Aguas Residuales</t>
  </si>
  <si>
    <t>Limpia Municipal</t>
  </si>
  <si>
    <t>Renta_Corte</t>
  </si>
  <si>
    <t>Renta_Bodega</t>
  </si>
  <si>
    <t>Renta Españoles</t>
  </si>
  <si>
    <t>Nomina Sindicalizados Semanal (Fiscal)</t>
  </si>
  <si>
    <t>R.H</t>
  </si>
  <si>
    <t>Nomina Per.Confianza Semanal (Fiscal)</t>
  </si>
  <si>
    <t>Nomina Per.Confianza Semanal (Diferencias)</t>
  </si>
  <si>
    <t>Despensa 10 Mayo</t>
  </si>
  <si>
    <t>Despensa Diciembre</t>
  </si>
  <si>
    <t>Utiles Escolares</t>
  </si>
  <si>
    <t>Fiesta Fin de Año</t>
  </si>
  <si>
    <t>Vasos y Etiqueta de Fin de año:</t>
  </si>
  <si>
    <t xml:space="preserve">Regalos Fin de Año </t>
  </si>
  <si>
    <t>Reconocimientos Fin de Año</t>
  </si>
  <si>
    <t>Oficina CDMX</t>
  </si>
  <si>
    <t>Licencia Comercial</t>
  </si>
  <si>
    <t>Higuiene y Seguridad</t>
  </si>
  <si>
    <t xml:space="preserve">Visto Bueno </t>
  </si>
  <si>
    <t>Licencia Ambiental</t>
  </si>
  <si>
    <t>Dcitamen Atmosferico</t>
  </si>
  <si>
    <t>PIPC</t>
  </si>
  <si>
    <t>Extintores</t>
  </si>
  <si>
    <t>Estudios Normas</t>
  </si>
  <si>
    <t>Promociones Sindicales</t>
  </si>
  <si>
    <t>1ero Mayo - Sindicato</t>
  </si>
  <si>
    <t>Contrato colectivo -Sindicato</t>
  </si>
  <si>
    <t>Playeras Sindicato</t>
  </si>
  <si>
    <t>Comedor Españoles Planta</t>
  </si>
  <si>
    <t>Comedor Españoles Corte</t>
  </si>
  <si>
    <t>Sillas</t>
  </si>
  <si>
    <t>Producción</t>
  </si>
  <si>
    <t>Inversión</t>
  </si>
  <si>
    <t>Bancos Giratorios</t>
  </si>
  <si>
    <t xml:space="preserve">Bancos </t>
  </si>
  <si>
    <t>Vigilancia</t>
  </si>
  <si>
    <t>Papeleria</t>
  </si>
  <si>
    <t>Papel Higienico</t>
  </si>
  <si>
    <t>Medicamento</t>
  </si>
  <si>
    <t>Internet</t>
  </si>
  <si>
    <t>Telefono</t>
  </si>
  <si>
    <t>Maquina de Vivos Suote</t>
  </si>
  <si>
    <t>Maquina de Pegado y Entorchado</t>
  </si>
  <si>
    <t>Seguro Empresarial</t>
  </si>
  <si>
    <t>Gasto Mensual</t>
  </si>
  <si>
    <t>Tipo de Movimiento</t>
  </si>
  <si>
    <t>Gasto</t>
  </si>
  <si>
    <t>Num Emp.</t>
  </si>
  <si>
    <t>Nombre del Trabajador</t>
  </si>
  <si>
    <t>Numero de Seguridad Social</t>
  </si>
  <si>
    <t>Fecha de Ingreso Nomina</t>
  </si>
  <si>
    <t>Fecha de Alta IMSS (OTE)</t>
  </si>
  <si>
    <t>Fecha de Antigüedad (GL3)</t>
  </si>
  <si>
    <t>Departamento</t>
  </si>
  <si>
    <t>Sección</t>
  </si>
  <si>
    <t>Puesto</t>
  </si>
  <si>
    <t>Salario Diario</t>
  </si>
  <si>
    <t>2050</t>
  </si>
  <si>
    <t>AGUILAR HERNANDEZ MARTIN</t>
  </si>
  <si>
    <t>72926410902</t>
  </si>
  <si>
    <t>SACO Y PANTALON</t>
  </si>
  <si>
    <t>CORTE</t>
  </si>
  <si>
    <t>AYUDANTE GENERAL</t>
  </si>
  <si>
    <t>2055</t>
  </si>
  <si>
    <t>ALDAY REYES RAUL</t>
  </si>
  <si>
    <t>72916952624</t>
  </si>
  <si>
    <t>2083</t>
  </si>
  <si>
    <t>ALEGRIA MARTINEZ JESUS</t>
  </si>
  <si>
    <t>27190042674</t>
  </si>
  <si>
    <t>2272</t>
  </si>
  <si>
    <t>ALVARADO HERNANDEZ MARIO</t>
  </si>
  <si>
    <t>72857006596</t>
  </si>
  <si>
    <t>SACO - PANTALON</t>
  </si>
  <si>
    <t>FUSIONADO</t>
  </si>
  <si>
    <t>2071</t>
  </si>
  <si>
    <t>ANAYA SILVA DULCE</t>
  </si>
  <si>
    <t>2059</t>
  </si>
  <si>
    <t>ANTUNEZ CORRALES ESPERANZA</t>
  </si>
  <si>
    <t>BALBUENA AVILA JUAN CARLOS</t>
  </si>
  <si>
    <t>10199747923</t>
  </si>
  <si>
    <t>2079</t>
  </si>
  <si>
    <t>BAYLON GARCIA LUIS ALFONSO</t>
  </si>
  <si>
    <t>10169971057</t>
  </si>
  <si>
    <t>2077</t>
  </si>
  <si>
    <t>BENITO CABRERA LUCIA</t>
  </si>
  <si>
    <t>BRUNO ARROYO YAZMIN</t>
  </si>
  <si>
    <t>46210514884</t>
  </si>
  <si>
    <t>2067</t>
  </si>
  <si>
    <t>CARRILLO REYES VICTOR DANIEL</t>
  </si>
  <si>
    <t>72018509363</t>
  </si>
  <si>
    <t>2580</t>
  </si>
  <si>
    <t>CASARRUBIAS GARCIA MAYRA  AZUCENA</t>
  </si>
  <si>
    <t>05179579783</t>
  </si>
  <si>
    <t>2273</t>
  </si>
  <si>
    <t>CASARRUBIAS MENDEZ ALMA DELIA</t>
  </si>
  <si>
    <t>72977010684</t>
  </si>
  <si>
    <t>2053</t>
  </si>
  <si>
    <t>CONTRERAS CASTILLO JULIAN</t>
  </si>
  <si>
    <t>72856722383</t>
  </si>
  <si>
    <t>2075</t>
  </si>
  <si>
    <t>CONTRERAS FLORES IRIS GUADALUPE</t>
  </si>
  <si>
    <t>03229579465</t>
  </si>
  <si>
    <t>2265</t>
  </si>
  <si>
    <t>DEL ROSARIO SALGADO JENOVEVA</t>
  </si>
  <si>
    <t>2057</t>
  </si>
  <si>
    <t>DELGADO ESCOBAR JOSE GUADALUPE</t>
  </si>
  <si>
    <t>72128303400</t>
  </si>
  <si>
    <t>DELGADO MORENO ROGELIO</t>
  </si>
  <si>
    <t>72007102394</t>
  </si>
  <si>
    <t>GARCIA SOLANO LUCIA</t>
  </si>
  <si>
    <t>05250346250</t>
  </si>
  <si>
    <t>GARCIA SOLANO SABINA</t>
  </si>
  <si>
    <t>10250572616</t>
  </si>
  <si>
    <t>2072</t>
  </si>
  <si>
    <t>GARDUÑO GALLARDO JOSE GABRIEL</t>
  </si>
  <si>
    <t>15139434052</t>
  </si>
  <si>
    <t>2258</t>
  </si>
  <si>
    <t>HERNANDEZ LOEZA MARITZA</t>
  </si>
  <si>
    <t>18220433801</t>
  </si>
  <si>
    <t>2266</t>
  </si>
  <si>
    <t>HERNANDEZ LOEZA YAMILET</t>
  </si>
  <si>
    <t>05220169980</t>
  </si>
  <si>
    <t>2065</t>
  </si>
  <si>
    <t>JUAREZ GARCIA JESSICA</t>
  </si>
  <si>
    <t>09169437846</t>
  </si>
  <si>
    <t>2062</t>
  </si>
  <si>
    <t>LAGUNAS JIMENEZ JESSICA GUADALUPE</t>
  </si>
  <si>
    <t>2061</t>
  </si>
  <si>
    <t>LOZA ORTIZ ELIZABETH</t>
  </si>
  <si>
    <t>02217582416</t>
  </si>
  <si>
    <t>2076</t>
  </si>
  <si>
    <t>MARCOS GONZALEZ PAULA</t>
  </si>
  <si>
    <t>75200576876</t>
  </si>
  <si>
    <t>2073</t>
  </si>
  <si>
    <t>MARTINEZ LOPEZ ERIC</t>
  </si>
  <si>
    <t>2479</t>
  </si>
  <si>
    <t xml:space="preserve">MARTINEZ MENDOZA CECILIA </t>
  </si>
  <si>
    <t>72139417942</t>
  </si>
  <si>
    <t>2271</t>
  </si>
  <si>
    <t>MENDOZA RIVERA FABIOLA</t>
  </si>
  <si>
    <t>2253</t>
  </si>
  <si>
    <t>MENDOZA VILLALOBOS RUBICELIA</t>
  </si>
  <si>
    <t>72138914212</t>
  </si>
  <si>
    <t>2278</t>
  </si>
  <si>
    <t>MILLAN JACOBO ANA ESTHER</t>
  </si>
  <si>
    <t>72079017348</t>
  </si>
  <si>
    <t>2252</t>
  </si>
  <si>
    <t>MOLINA PEREZ SANDRA LUZ</t>
  </si>
  <si>
    <t>72978262326</t>
  </si>
  <si>
    <t>MONTAÑO RETIGUIN LIZBETH</t>
  </si>
  <si>
    <t>72109010875</t>
  </si>
  <si>
    <t>2255</t>
  </si>
  <si>
    <t>MORENO MONDRAGON GUADALUPE</t>
  </si>
  <si>
    <t>03218902538</t>
  </si>
  <si>
    <t>NORBERTO GARCIA YULI MONTSERRAT</t>
  </si>
  <si>
    <t>54159787677</t>
  </si>
  <si>
    <t xml:space="preserve">OCAMPO PALACIOS LUZ ELENA </t>
  </si>
  <si>
    <t>18230211569</t>
  </si>
  <si>
    <t>OCHOA SALGADO VIRIDIANA LISET</t>
  </si>
  <si>
    <t>08210546035</t>
  </si>
  <si>
    <t>2081</t>
  </si>
  <si>
    <t>PADILLA GATICA IVAN</t>
  </si>
  <si>
    <t>03240230536</t>
  </si>
  <si>
    <t>2069</t>
  </si>
  <si>
    <t>PEREZ ALAMO TOMAS</t>
  </si>
  <si>
    <t>2477</t>
  </si>
  <si>
    <t>QUEZADA MENDOZA GABRIELA JOCELYN</t>
  </si>
  <si>
    <t>46240619208</t>
  </si>
  <si>
    <t xml:space="preserve"> </t>
  </si>
  <si>
    <t>RABADAN GONZALEZ MARIA  GUADALUPE</t>
  </si>
  <si>
    <t>23160475861</t>
  </si>
  <si>
    <t>RENTERIA LAGUNAS JUANA</t>
  </si>
  <si>
    <t>02210499527</t>
  </si>
  <si>
    <t>2274</t>
  </si>
  <si>
    <t>RENTERIA MARTINEZ LITZY NIRANDI</t>
  </si>
  <si>
    <t>58180273573</t>
  </si>
  <si>
    <t>2080</t>
  </si>
  <si>
    <t>RODRIGUEZ SOLANO MIRNA YANET</t>
  </si>
  <si>
    <t>03237915495</t>
  </si>
  <si>
    <t>RODRIGUEZ VAZQUEZ JULISSA RUBI</t>
  </si>
  <si>
    <t>38170399125</t>
  </si>
  <si>
    <t>2268</t>
  </si>
  <si>
    <t>ROJAS SOTELO MARIO</t>
  </si>
  <si>
    <t>05148701690</t>
  </si>
  <si>
    <t>2052</t>
  </si>
  <si>
    <t>ROMAN ARZOLA OSIEL</t>
  </si>
  <si>
    <t>72098908113</t>
  </si>
  <si>
    <t>2259</t>
  </si>
  <si>
    <t>RUIZ MONTES MIRIAM</t>
  </si>
  <si>
    <t>72139701840</t>
  </si>
  <si>
    <t>2262</t>
  </si>
  <si>
    <t>SALGADO ROMAN NELSI ADILENE</t>
  </si>
  <si>
    <t>2264</t>
  </si>
  <si>
    <t>SANDOVAL NAVA MARIA GUADALUPE</t>
  </si>
  <si>
    <t>02230667822</t>
  </si>
  <si>
    <t>SANTOS PANO JUAN ALEXIS</t>
  </si>
  <si>
    <t>12139858786</t>
  </si>
  <si>
    <t>2256</t>
  </si>
  <si>
    <t>VALLADARES RUEDA MARTIN</t>
  </si>
  <si>
    <t>48139561988</t>
  </si>
  <si>
    <t>2074</t>
  </si>
  <si>
    <t>VARGAS GUADARRAMA ANDRES</t>
  </si>
  <si>
    <t>72067901172</t>
  </si>
  <si>
    <t>VAZQUEZ LOZA ERIC DAVID</t>
  </si>
  <si>
    <t>26220499540</t>
  </si>
  <si>
    <t>2064</t>
  </si>
  <si>
    <t>VAZQUEZ MIRANDA ISAID ALEXANDER</t>
  </si>
  <si>
    <t>01219821350</t>
  </si>
  <si>
    <t>2254</t>
  </si>
  <si>
    <t>VERGARA MANZANAREZ ANDREA LORENA</t>
  </si>
  <si>
    <t>2257</t>
  </si>
  <si>
    <t>VICENTE ROMAN LLUVIA AZUCENA</t>
  </si>
  <si>
    <t>35210283053</t>
  </si>
  <si>
    <t>VICENTE ROMAN OSCAR</t>
  </si>
  <si>
    <t>72108908202</t>
  </si>
  <si>
    <t xml:space="preserve">VILLALOBOS CORONA VICTOR DANIEL </t>
  </si>
  <si>
    <t>02219749112</t>
  </si>
  <si>
    <t>2078</t>
  </si>
  <si>
    <t>VILLANUEVA BRITO CESAR</t>
  </si>
  <si>
    <t>2085</t>
  </si>
  <si>
    <t>ZARAGOZA RUIZ JUAN DANIEL</t>
  </si>
  <si>
    <t>72109309590</t>
  </si>
  <si>
    <t>Total</t>
  </si>
  <si>
    <t>NOMBRE DEL TRABAJADOR</t>
  </si>
  <si>
    <t>SECCIÓN</t>
  </si>
  <si>
    <t>INCENTIVO</t>
  </si>
  <si>
    <t>BAILON GARCIA LUIS ALFONSO</t>
  </si>
  <si>
    <t>AVILEZ REBOLLEDO LUIS ANGEL</t>
  </si>
  <si>
    <t>OCAMPO PALACIOS LUZ ELENA</t>
  </si>
  <si>
    <t>MARTINEZ MENDOZA CECILIA</t>
  </si>
  <si>
    <t>RENTERIA MARTINEZ LITZI NIRANDI</t>
  </si>
  <si>
    <t>VILLALOBOS CORONA VICTOR DANIEL</t>
  </si>
  <si>
    <t>CASARRUBIAS GARCIA MAYRA AZUCENA</t>
  </si>
  <si>
    <t>RABADAN GONZALEZ MARIA GUADALUPE</t>
  </si>
  <si>
    <t>2124</t>
  </si>
  <si>
    <t>ACOSTA MARTINEZ LESLY YARITZA</t>
  </si>
  <si>
    <t>05169948204</t>
  </si>
  <si>
    <t>SACO</t>
  </si>
  <si>
    <t>DELANTEROS Y ESPALDA</t>
  </si>
  <si>
    <t>2134</t>
  </si>
  <si>
    <t>ANAYA MAZON SANTIAGO</t>
  </si>
  <si>
    <t>08169365296</t>
  </si>
  <si>
    <t>2133</t>
  </si>
  <si>
    <t>AVILEZ ZACARIAS MIGUEL</t>
  </si>
  <si>
    <t>02249744190</t>
  </si>
  <si>
    <t>2111</t>
  </si>
  <si>
    <t>BENITEZ TELLEZ PAULINA</t>
  </si>
  <si>
    <t>03199117106</t>
  </si>
  <si>
    <t>2108</t>
  </si>
  <si>
    <t>GARCIA HERNANDEZ ESTEFANIA</t>
  </si>
  <si>
    <t>03238724854</t>
  </si>
  <si>
    <t>2094</t>
  </si>
  <si>
    <t>MONTAÑO JUAREZ CELENE</t>
  </si>
  <si>
    <t>02198648814</t>
  </si>
  <si>
    <t>2118</t>
  </si>
  <si>
    <t>RIVAS ORDUÑA NAYELI</t>
  </si>
  <si>
    <t>2117</t>
  </si>
  <si>
    <t>AGUILAR LABRA MARIA ISABEL</t>
  </si>
  <si>
    <t>COSTURERO</t>
  </si>
  <si>
    <t>2088</t>
  </si>
  <si>
    <t>ANDRECILLO SALGADO MARCO ANTONIO</t>
  </si>
  <si>
    <t>55967906078</t>
  </si>
  <si>
    <t>2096</t>
  </si>
  <si>
    <t>ARROYO MARTINEZ ESTELA ARITZANY</t>
  </si>
  <si>
    <t>72129210596</t>
  </si>
  <si>
    <t>2126</t>
  </si>
  <si>
    <t>BAHENA GONZALEZ SUSANA</t>
  </si>
  <si>
    <t>2099</t>
  </si>
  <si>
    <t>BRITO GONZALEZ CRISTINA</t>
  </si>
  <si>
    <t>03218964595</t>
  </si>
  <si>
    <t>2127</t>
  </si>
  <si>
    <t>BRITO GONZALEZ GRISELDA</t>
  </si>
  <si>
    <t>08179678878</t>
  </si>
  <si>
    <t>2090</t>
  </si>
  <si>
    <t>CATALAN SANCHEZ JUAN</t>
  </si>
  <si>
    <t>72048706781</t>
  </si>
  <si>
    <t>2095</t>
  </si>
  <si>
    <t>FAUSTINO MONTES ROSA</t>
  </si>
  <si>
    <t>72967934125</t>
  </si>
  <si>
    <t>FITZ HERNANDEZ MARIA DEL CARMEN</t>
  </si>
  <si>
    <t>02257721908</t>
  </si>
  <si>
    <t>GALLEGOS CARMONA JAZMIN</t>
  </si>
  <si>
    <t>03199309745</t>
  </si>
  <si>
    <t>2112</t>
  </si>
  <si>
    <t>HERNANDEZ MARTINEZ FABIOLA</t>
  </si>
  <si>
    <t>72028316668</t>
  </si>
  <si>
    <t>MONDRAGON TAPIA JESUS EDUARDO</t>
  </si>
  <si>
    <t>19160099644</t>
  </si>
  <si>
    <t>2135</t>
  </si>
  <si>
    <t>OCHOA BERNAL CITLALY JOSELIN</t>
  </si>
  <si>
    <t>08150153206</t>
  </si>
  <si>
    <t>POPOCA ONTIVEROS ANDREA</t>
  </si>
  <si>
    <t>96160072433</t>
  </si>
  <si>
    <t>2100</t>
  </si>
  <si>
    <t>RAMIREZ MORALES ALBERTO</t>
  </si>
  <si>
    <t>72117902626</t>
  </si>
  <si>
    <t>2122</t>
  </si>
  <si>
    <t>RAMIREZ REBOLLEDO MARIA GUADALUPE</t>
  </si>
  <si>
    <t>02220013995</t>
  </si>
  <si>
    <t>2132</t>
  </si>
  <si>
    <t>RENDON MELCHOR MARISELA</t>
  </si>
  <si>
    <t>72058816892</t>
  </si>
  <si>
    <t>2123</t>
  </si>
  <si>
    <t>REYES HERNANDEZ WENDY KATERIN</t>
  </si>
  <si>
    <t>2092</t>
  </si>
  <si>
    <t>SALGADO VARELA JORDY AXEL</t>
  </si>
  <si>
    <t>10160014246</t>
  </si>
  <si>
    <t>2087</t>
  </si>
  <si>
    <t>SALVADOR BAHENA BRISEYDA</t>
  </si>
  <si>
    <t>18179931458</t>
  </si>
  <si>
    <t>2115</t>
  </si>
  <si>
    <t>SALVADOR BAHENA LEYDI MINELI</t>
  </si>
  <si>
    <t>2113</t>
  </si>
  <si>
    <t>SALVADOR ENCISO GRISELDA</t>
  </si>
  <si>
    <t>72937806080</t>
  </si>
  <si>
    <t>2464</t>
  </si>
  <si>
    <t>SANCHEZ ARZATE MARIA AZUCENA</t>
  </si>
  <si>
    <t>72026902816</t>
  </si>
  <si>
    <t>2107</t>
  </si>
  <si>
    <t>SANCHEZ RUEDA JONATHAN</t>
  </si>
  <si>
    <t>2089</t>
  </si>
  <si>
    <t>SANTOS SANCHEZ NATIVIDAD</t>
  </si>
  <si>
    <t>72998401383</t>
  </si>
  <si>
    <t>2091</t>
  </si>
  <si>
    <t>SOLANO ESTRADA LORENZO</t>
  </si>
  <si>
    <t>72998309511</t>
  </si>
  <si>
    <t>2128</t>
  </si>
  <si>
    <t>VALENCIA OCHOA SHELENE</t>
  </si>
  <si>
    <t>03189217023</t>
  </si>
  <si>
    <t>2116</t>
  </si>
  <si>
    <t>VILLANUEVA LIBERTO JUANA</t>
  </si>
  <si>
    <t>2106</t>
  </si>
  <si>
    <t>CAMBRAY MATA OCTAVIO</t>
  </si>
  <si>
    <t>03210381723</t>
  </si>
  <si>
    <t>PLANCHADOR</t>
  </si>
  <si>
    <t>2114</t>
  </si>
  <si>
    <t>FIGUEROA JUAREZ GERARDO</t>
  </si>
  <si>
    <t>72958018300</t>
  </si>
  <si>
    <t>2120</t>
  </si>
  <si>
    <t>LAGUNAS VILLASANA LEONEL</t>
  </si>
  <si>
    <t>2109</t>
  </si>
  <si>
    <t>RAMIREZ CATALAN ALAN</t>
  </si>
  <si>
    <t>72139320401</t>
  </si>
  <si>
    <t>2125</t>
  </si>
  <si>
    <t>RAMIREZ GUADARRAMA GONZALO</t>
  </si>
  <si>
    <t>2101</t>
  </si>
  <si>
    <t>REYES FUENTES EDGAR</t>
  </si>
  <si>
    <t>72139400542</t>
  </si>
  <si>
    <t>2086</t>
  </si>
  <si>
    <t>ROGEL CORRALES CRISTINA</t>
  </si>
  <si>
    <t>72027904860</t>
  </si>
  <si>
    <t>2119</t>
  </si>
  <si>
    <t>SALGADO SAUCEDO ORLANDO</t>
  </si>
  <si>
    <t>05158426758</t>
  </si>
  <si>
    <t>2093</t>
  </si>
  <si>
    <t>VERGARA MANZANARES JESUS MISRAIM</t>
  </si>
  <si>
    <t>72119321940</t>
  </si>
  <si>
    <t>2110</t>
  </si>
  <si>
    <t>VICTORIA RAMOS JESUS FERNANDO</t>
  </si>
  <si>
    <t>25230487883</t>
  </si>
  <si>
    <t>ALARCON CARRANZA JUAN CARLOS</t>
  </si>
  <si>
    <t>72058622290</t>
  </si>
  <si>
    <t>ENSAMBLE DE SACO</t>
  </si>
  <si>
    <t>2246</t>
  </si>
  <si>
    <t>FIGUEROA AGUILAR MANUELA</t>
  </si>
  <si>
    <t>02197809953</t>
  </si>
  <si>
    <t>2237</t>
  </si>
  <si>
    <t>MARTINEZ MASTACHE IRIS YANAI</t>
  </si>
  <si>
    <t>06139892126</t>
  </si>
  <si>
    <t>2240</t>
  </si>
  <si>
    <t>MARTINEZ REYES ORQUIDEA</t>
  </si>
  <si>
    <t>03218679250</t>
  </si>
  <si>
    <t>2232</t>
  </si>
  <si>
    <t>OCHOA BRITO EDGAR YAIR</t>
  </si>
  <si>
    <t>44230479725</t>
  </si>
  <si>
    <t>PITA ARMENTA LAURA PATRICIA</t>
  </si>
  <si>
    <t>72118811743</t>
  </si>
  <si>
    <t>2238</t>
  </si>
  <si>
    <t>ALVARADO RUBIO ROSALBA</t>
  </si>
  <si>
    <t>72018509900</t>
  </si>
  <si>
    <t>2229</t>
  </si>
  <si>
    <t>AYALA OCAMPO JENNIFER</t>
  </si>
  <si>
    <t>2245</t>
  </si>
  <si>
    <t>BARTOLO CATALAN JAIME</t>
  </si>
  <si>
    <t>72129316955</t>
  </si>
  <si>
    <t>2228</t>
  </si>
  <si>
    <t>ESTRADA MENDOZA JUANA</t>
  </si>
  <si>
    <t>02239815133</t>
  </si>
  <si>
    <t>2227</t>
  </si>
  <si>
    <t>ESTRADA MENDOZA LIGIA REBECA</t>
  </si>
  <si>
    <t>35170046169</t>
  </si>
  <si>
    <t>2219</t>
  </si>
  <si>
    <t>FIGUEROA GOMEZ SELENE</t>
  </si>
  <si>
    <t>2242</t>
  </si>
  <si>
    <t>GALAN RAMIREZ DULCE DELI</t>
  </si>
  <si>
    <t>2222</t>
  </si>
  <si>
    <t>GOMEZ LOPEZ MARIA DE LOS ANGELES</t>
  </si>
  <si>
    <t>72028211729</t>
  </si>
  <si>
    <t>MARCIAL ANGELES DULCE MARIA</t>
  </si>
  <si>
    <t>2218</t>
  </si>
  <si>
    <t>MEJIA RAMIREZ MARTHA PATRICIA</t>
  </si>
  <si>
    <t>72947029673</t>
  </si>
  <si>
    <t>2239</t>
  </si>
  <si>
    <t>MONTIEL DOROTEO AGUSTINA</t>
  </si>
  <si>
    <t>2247</t>
  </si>
  <si>
    <t>MONTIEL DOROTEO ESTEFANY IRAIS</t>
  </si>
  <si>
    <t>19210501151</t>
  </si>
  <si>
    <t>2235</t>
  </si>
  <si>
    <t>RODRIGUEZ JIMENEZ ROSA ELENA</t>
  </si>
  <si>
    <t>RODRIGUEZ SOTO JOSEFINA</t>
  </si>
  <si>
    <t>72098708281</t>
  </si>
  <si>
    <t>2225</t>
  </si>
  <si>
    <t>RUIZ MONTES MARIA ITZEL</t>
  </si>
  <si>
    <t>72129605282</t>
  </si>
  <si>
    <t>2248</t>
  </si>
  <si>
    <t>SANCHEZ CASTREJON CINDY MAYLET</t>
  </si>
  <si>
    <t>02248734465</t>
  </si>
  <si>
    <t>2220</t>
  </si>
  <si>
    <t>SANTOS SANCHEZ MARIA EVA</t>
  </si>
  <si>
    <t>72109400910</t>
  </si>
  <si>
    <t>2226</t>
  </si>
  <si>
    <t>GONZALEZ OCAMPO LUIS IGNACIO</t>
  </si>
  <si>
    <t>44210380992</t>
  </si>
  <si>
    <t>IXPANGO ESCOBAR FRANCISCO</t>
  </si>
  <si>
    <t>08169320903</t>
  </si>
  <si>
    <t>2224</t>
  </si>
  <si>
    <t>OCHOA MENDEZ JOSE FERNANDO</t>
  </si>
  <si>
    <t>08199966642</t>
  </si>
  <si>
    <t>2221</t>
  </si>
  <si>
    <t>VARELA CASTRO JONATHAN</t>
  </si>
  <si>
    <t>72959500538</t>
  </si>
  <si>
    <t>2295</t>
  </si>
  <si>
    <t>ALAMO RIVERA MA. TERESA</t>
  </si>
  <si>
    <t>19179552617</t>
  </si>
  <si>
    <t>PLANCHA DE SACO</t>
  </si>
  <si>
    <t>2297</t>
  </si>
  <si>
    <t>ANZUREZ GONZALEZ CRESENCIO</t>
  </si>
  <si>
    <t>72998302862</t>
  </si>
  <si>
    <t>2300</t>
  </si>
  <si>
    <t>AVILA DE LA PUENTE EFREN</t>
  </si>
  <si>
    <t>08190082357</t>
  </si>
  <si>
    <t>2293</t>
  </si>
  <si>
    <t>CASTILLO PEREZ YOLANDA</t>
  </si>
  <si>
    <t>72028401882</t>
  </si>
  <si>
    <t>ESPINOZA MILIAN SERGIO VALENTE</t>
  </si>
  <si>
    <t>72008229873</t>
  </si>
  <si>
    <t>2310</t>
  </si>
  <si>
    <t>GARCIA TELLEZ JOSE MANUEL</t>
  </si>
  <si>
    <t>17169573726</t>
  </si>
  <si>
    <t>GARDUÑO ZAVALETA MELANIE</t>
  </si>
  <si>
    <t>58170386351</t>
  </si>
  <si>
    <t>HERNANDEZ RAMIREZ PABLO</t>
  </si>
  <si>
    <t>72038706890</t>
  </si>
  <si>
    <t>2303</t>
  </si>
  <si>
    <t>LOPEZ SOTO MARIFER</t>
  </si>
  <si>
    <t>03148233830</t>
  </si>
  <si>
    <t>2305</t>
  </si>
  <si>
    <t>MENDOZA MOJICA FLORENCIO</t>
  </si>
  <si>
    <t>72947238159</t>
  </si>
  <si>
    <t>OCHOA HERNANDEZ HUGO</t>
  </si>
  <si>
    <t>72018105675</t>
  </si>
  <si>
    <t>OCHOA HERNANDEZ ISIDRO</t>
  </si>
  <si>
    <t>72038706098</t>
  </si>
  <si>
    <t>2309</t>
  </si>
  <si>
    <t>RAMIREZ SANTOS CRISTINA</t>
  </si>
  <si>
    <t>19159502194</t>
  </si>
  <si>
    <t>2304</t>
  </si>
  <si>
    <t>REYES HERNANDEZ IGNACIO</t>
  </si>
  <si>
    <t>72088809560</t>
  </si>
  <si>
    <t>2307</t>
  </si>
  <si>
    <t>ROMAN CRISANTO JOVANY</t>
  </si>
  <si>
    <t>08169673111</t>
  </si>
  <si>
    <t>2296</t>
  </si>
  <si>
    <t>SALVADOR BAHENA JOEL</t>
  </si>
  <si>
    <t>72079108782</t>
  </si>
  <si>
    <t>2298</t>
  </si>
  <si>
    <t>SANCHEZ RODRIGUEZ EMMANUEL</t>
  </si>
  <si>
    <t>72119214137</t>
  </si>
  <si>
    <t>2301</t>
  </si>
  <si>
    <t>VALENCIA BARRIENTOS ROSA ELENA</t>
  </si>
  <si>
    <t>68160012180</t>
  </si>
  <si>
    <t>2313</t>
  </si>
  <si>
    <t>VAZQUEZ MIRANDA SAULO ADALI</t>
  </si>
  <si>
    <t>02229697244</t>
  </si>
  <si>
    <t>2320</t>
  </si>
  <si>
    <t>GONZALEZ OCHOA ANA MARIA</t>
  </si>
  <si>
    <t>54180072081</t>
  </si>
  <si>
    <t>REVISADO FINAL</t>
  </si>
  <si>
    <t>OCAMPO REYES KAREN ANDREA</t>
  </si>
  <si>
    <t>70170215944</t>
  </si>
  <si>
    <t>2333</t>
  </si>
  <si>
    <t>CRISANTO ROBLEDO ALONDRA BERENICE</t>
  </si>
  <si>
    <t>SEGUNDA DE MANGAS</t>
  </si>
  <si>
    <t>2338</t>
  </si>
  <si>
    <t>CATALAN VILLEGAS ANGELICA MARIA</t>
  </si>
  <si>
    <t>02188549083</t>
  </si>
  <si>
    <t>2329</t>
  </si>
  <si>
    <t>CERVANTES MAZON MA. CRISTINA</t>
  </si>
  <si>
    <t>72927538750</t>
  </si>
  <si>
    <t>2332</t>
  </si>
  <si>
    <t>CONTRERAS MAVIL SANTIAGO</t>
  </si>
  <si>
    <t>72998105828</t>
  </si>
  <si>
    <t>2348</t>
  </si>
  <si>
    <t>FELIPE APOLONIO MA. ISABEL</t>
  </si>
  <si>
    <t>04199895352</t>
  </si>
  <si>
    <t>2331</t>
  </si>
  <si>
    <t>GARCIA PRESTEGUI LIDIA</t>
  </si>
  <si>
    <t>04169278753</t>
  </si>
  <si>
    <t>2341</t>
  </si>
  <si>
    <t>HERNANDEZ DOROTEO FELIPE</t>
  </si>
  <si>
    <t>72008501685</t>
  </si>
  <si>
    <t>2342</t>
  </si>
  <si>
    <t>JOAQUIN HERRERA LUISA</t>
  </si>
  <si>
    <t>2339</t>
  </si>
  <si>
    <t>RODRIGUEZ TORRES LORENA</t>
  </si>
  <si>
    <t>02219901275</t>
  </si>
  <si>
    <t>2324</t>
  </si>
  <si>
    <t>RUBIO GARCIA JAVIER</t>
  </si>
  <si>
    <t>72038604350</t>
  </si>
  <si>
    <t>2328</t>
  </si>
  <si>
    <t>RUIZ CASTRO YUSELINE</t>
  </si>
  <si>
    <t>72089009525</t>
  </si>
  <si>
    <t>2325</t>
  </si>
  <si>
    <t>RUIZ SALAZAR MIGUEL ANGEL</t>
  </si>
  <si>
    <t>2327</t>
  </si>
  <si>
    <t>SALGADO GAMA FERMIN</t>
  </si>
  <si>
    <t>72119001120</t>
  </si>
  <si>
    <t>2346</t>
  </si>
  <si>
    <t>SALGADO TORRES NORMA</t>
  </si>
  <si>
    <t>03198868907</t>
  </si>
  <si>
    <t>2330</t>
  </si>
  <si>
    <t>SANCHEZ MONTERO CESAR NOE</t>
  </si>
  <si>
    <t>64169168610</t>
  </si>
  <si>
    <t>2326</t>
  </si>
  <si>
    <t>SOLANO CORCINO ZENAIDO</t>
  </si>
  <si>
    <t>72079011044</t>
  </si>
  <si>
    <t>2334</t>
  </si>
  <si>
    <t>HERNANDEZ MOTA LUZ MARIA</t>
  </si>
  <si>
    <t>2337</t>
  </si>
  <si>
    <t>JUAREZ ALVAREZ ALFREDO</t>
  </si>
  <si>
    <t>72078830287</t>
  </si>
  <si>
    <t>2343</t>
  </si>
  <si>
    <t>OCHOA MENDOZA MARIA IRENE</t>
  </si>
  <si>
    <t>03229220987</t>
  </si>
  <si>
    <t>2347</t>
  </si>
  <si>
    <t>OSORIO CARREÑO JOSE LUIS</t>
  </si>
  <si>
    <t>59170120600</t>
  </si>
  <si>
    <t>ROBLES MONTIEL OLLIVER DE JESUS</t>
  </si>
  <si>
    <t>74180390069</t>
  </si>
  <si>
    <t>2366</t>
  </si>
  <si>
    <t>CRUZ BASILIO ANGELICA</t>
  </si>
  <si>
    <t>72078411633</t>
  </si>
  <si>
    <t>SEGUNDA DE VISTAS</t>
  </si>
  <si>
    <t>2382</t>
  </si>
  <si>
    <t>ANAYA MAZON JOSE ARNULFO</t>
  </si>
  <si>
    <t>2357</t>
  </si>
  <si>
    <t>BARCENAS REYNA MARTIBEL</t>
  </si>
  <si>
    <t>30897401029</t>
  </si>
  <si>
    <t>2384</t>
  </si>
  <si>
    <t>BRITO GONZALEZ MARBELLA</t>
  </si>
  <si>
    <t>05179363113</t>
  </si>
  <si>
    <t>2351</t>
  </si>
  <si>
    <t>BRITO PALACIOS ADALBERTO</t>
  </si>
  <si>
    <t>62957463052</t>
  </si>
  <si>
    <t>BRUNO GARCIA IRENE</t>
  </si>
  <si>
    <t>08250312371</t>
  </si>
  <si>
    <t>2377</t>
  </si>
  <si>
    <t>CANDELARIA CABRERA KARINA</t>
  </si>
  <si>
    <t>38159482371</t>
  </si>
  <si>
    <t>2367</t>
  </si>
  <si>
    <t>DAZA MASTACHE ALONDRA</t>
  </si>
  <si>
    <t>DIAZ CHAVEZ MIRIAM YOLETE</t>
  </si>
  <si>
    <t>18250590454</t>
  </si>
  <si>
    <t>2363</t>
  </si>
  <si>
    <t>FLORES ORTEGA YADIRA</t>
  </si>
  <si>
    <t>72978137205</t>
  </si>
  <si>
    <t>2381</t>
  </si>
  <si>
    <t>FUENTES FUENTES ADELAIDA</t>
  </si>
  <si>
    <t>72018514702</t>
  </si>
  <si>
    <t>2352</t>
  </si>
  <si>
    <t>GATICA CIRILO REINA</t>
  </si>
  <si>
    <t>72947349048</t>
  </si>
  <si>
    <t>2350</t>
  </si>
  <si>
    <t>HERNANDEZ REYES EVARISTO</t>
  </si>
  <si>
    <t>72006600463</t>
  </si>
  <si>
    <t>2358</t>
  </si>
  <si>
    <t>JAIMES ESTRADA LEONOR</t>
  </si>
  <si>
    <t>72048416027</t>
  </si>
  <si>
    <t>2371</t>
  </si>
  <si>
    <t>LOPEZ PINA ELIZABETH</t>
  </si>
  <si>
    <t>72088701742</t>
  </si>
  <si>
    <t>MARTINEZ SALINAS MARIA GUADALUPE</t>
  </si>
  <si>
    <t>27160051846</t>
  </si>
  <si>
    <t>2380</t>
  </si>
  <si>
    <t>MAYA VAZQUEZ SERGIO</t>
  </si>
  <si>
    <t>72099015249</t>
  </si>
  <si>
    <t>MENDOZA ALVAREZ MARTIN</t>
  </si>
  <si>
    <t>54160016272</t>
  </si>
  <si>
    <t>2362</t>
  </si>
  <si>
    <t>MONTIEL DE LA LUZ LUCRECIA</t>
  </si>
  <si>
    <t>72947240023</t>
  </si>
  <si>
    <t>2376</t>
  </si>
  <si>
    <t>MONTIEL DOROTEO MANUELA</t>
  </si>
  <si>
    <t>17149366688</t>
  </si>
  <si>
    <t xml:space="preserve">MORALES PANIAGUA MONSERRAT OFELIA </t>
  </si>
  <si>
    <t>37169840693</t>
  </si>
  <si>
    <t>2364</t>
  </si>
  <si>
    <t>NUÑEZ GODINEZ ABIGAIL</t>
  </si>
  <si>
    <t>72079011929</t>
  </si>
  <si>
    <t>PERALTA ALVARADO JOSE LUIS ANTONIO</t>
  </si>
  <si>
    <t>72058813873</t>
  </si>
  <si>
    <t>2383</t>
  </si>
  <si>
    <t>PEREYDA SEGURA NOHEMI</t>
  </si>
  <si>
    <t>2354</t>
  </si>
  <si>
    <t>PEREZ MENDEZ YOLANDA</t>
  </si>
  <si>
    <t>72038616461</t>
  </si>
  <si>
    <t>2387</t>
  </si>
  <si>
    <t>RODRIGUEZ JIMENEZ JUAN VALENTIN</t>
  </si>
  <si>
    <t>35159502232</t>
  </si>
  <si>
    <t>2103</t>
  </si>
  <si>
    <t>SANTOS LAGUNAS JESUS</t>
  </si>
  <si>
    <t>72099030883</t>
  </si>
  <si>
    <t>SOLANO CORCINO GUADALUPE</t>
  </si>
  <si>
    <t>72109217785</t>
  </si>
  <si>
    <t>2353</t>
  </si>
  <si>
    <t>TEUTLA ESTRADA MA. ELENA</t>
  </si>
  <si>
    <t>72088902506</t>
  </si>
  <si>
    <t>2368</t>
  </si>
  <si>
    <t>VILLANUEVA ELIBERTO REYNA</t>
  </si>
  <si>
    <t>72057602020</t>
  </si>
  <si>
    <t>2136</t>
  </si>
  <si>
    <t>ZAVALETA LOPEZ FANNY ITZEL</t>
  </si>
  <si>
    <t>72028501392</t>
  </si>
  <si>
    <t>2378</t>
  </si>
  <si>
    <t>ESTRADA MENDOZA DANIEL</t>
  </si>
  <si>
    <t>26149529245</t>
  </si>
  <si>
    <t>2379</t>
  </si>
  <si>
    <t>RAFAELA OCAMPO JUANA</t>
  </si>
  <si>
    <t>2356</t>
  </si>
  <si>
    <t>VARGAS GUADARRAMA LUIS ALFONSO</t>
  </si>
  <si>
    <t>MOTA PILO LAURA JACQUELINE</t>
  </si>
  <si>
    <t>03249735220</t>
  </si>
  <si>
    <t xml:space="preserve">SEGUNDA DE VISTAS </t>
  </si>
  <si>
    <t>2444</t>
  </si>
  <si>
    <t>AGUILAR LUCAS MARICELA</t>
  </si>
  <si>
    <t>TERMINADO SACO</t>
  </si>
  <si>
    <t>2432</t>
  </si>
  <si>
    <t>ALDAY VILLASANA IMELDA</t>
  </si>
  <si>
    <t>02188762872</t>
  </si>
  <si>
    <t>DIAZ CHAVEZ DULCE DANIELA</t>
  </si>
  <si>
    <t>44250745823</t>
  </si>
  <si>
    <t>2451</t>
  </si>
  <si>
    <t>FITZ HERNANDEZ JESUS</t>
  </si>
  <si>
    <t>72927334077</t>
  </si>
  <si>
    <t>2439</t>
  </si>
  <si>
    <t>GARCIA BACILIO LUCERO</t>
  </si>
  <si>
    <t>03239237021</t>
  </si>
  <si>
    <t>NAJERA SEBASTIAN CANDI YARET</t>
  </si>
  <si>
    <t>61210787174</t>
  </si>
  <si>
    <t>2433</t>
  </si>
  <si>
    <t>OCHOA CERVANTES NORMA LUZ</t>
  </si>
  <si>
    <t>RESENDIZ GAMA MARISOL</t>
  </si>
  <si>
    <t>03198931929</t>
  </si>
  <si>
    <t>2455</t>
  </si>
  <si>
    <t>ROMERO DAMIAN ANDREA</t>
  </si>
  <si>
    <t>35230517613</t>
  </si>
  <si>
    <t>2449</t>
  </si>
  <si>
    <t>SANCHEZ VAZQUEZ MARISOL BRENDALI</t>
  </si>
  <si>
    <t>2443</t>
  </si>
  <si>
    <t>SORIANO MORALES GLORIA</t>
  </si>
  <si>
    <t>1620</t>
  </si>
  <si>
    <t>VARGAS VARGAS MA. FELIX</t>
  </si>
  <si>
    <t>02228262966</t>
  </si>
  <si>
    <t>VILLALOBOS SALGADO BETZABEE ANTONIA</t>
  </si>
  <si>
    <t>17250596263</t>
  </si>
  <si>
    <t>2430</t>
  </si>
  <si>
    <t>ALONSO DELGADO ERIKA</t>
  </si>
  <si>
    <t>02218325526</t>
  </si>
  <si>
    <t>ARROYO GONZALEZ MA. KARLA</t>
  </si>
  <si>
    <t>05250266052</t>
  </si>
  <si>
    <t>2447</t>
  </si>
  <si>
    <t>BONAL MEJIA ADAMARI YARETH</t>
  </si>
  <si>
    <t>2434</t>
  </si>
  <si>
    <t>BRITO GONZALEZ ROGELIA</t>
  </si>
  <si>
    <t>03239406089</t>
  </si>
  <si>
    <t>2448</t>
  </si>
  <si>
    <t>DELGADO MAYA MAGDALENA</t>
  </si>
  <si>
    <t>72099104118</t>
  </si>
  <si>
    <t>FELICIANO DIEGO MARIN</t>
  </si>
  <si>
    <t>08159645947</t>
  </si>
  <si>
    <t>2435</t>
  </si>
  <si>
    <t>GONZALEZ GONZALEZ AMANDA</t>
  </si>
  <si>
    <t>2427</t>
  </si>
  <si>
    <t>GONZALEZ SEBASTIAN VIRIDIANA</t>
  </si>
  <si>
    <t>02198305696</t>
  </si>
  <si>
    <t>2424</t>
  </si>
  <si>
    <t>GUTIERREZ PERALTA ONELIA</t>
  </si>
  <si>
    <t>72028516713</t>
  </si>
  <si>
    <t>2438</t>
  </si>
  <si>
    <t>LOPEZ CUEVAS ANELIZ ALEIDY</t>
  </si>
  <si>
    <t>2436</t>
  </si>
  <si>
    <t>LOPEZ PERUCHO IVAN</t>
  </si>
  <si>
    <t>16160306607</t>
  </si>
  <si>
    <t>2428</t>
  </si>
  <si>
    <t>LOPEZ VAZQUEZ OSCAR</t>
  </si>
  <si>
    <t>2452</t>
  </si>
  <si>
    <t>MOJICA SÁNCHEZ KENIA RUBI</t>
  </si>
  <si>
    <t>37169851096</t>
  </si>
  <si>
    <t>2431</t>
  </si>
  <si>
    <t>QUINTANA ALONSO YOSSELYN</t>
  </si>
  <si>
    <t>02220504654</t>
  </si>
  <si>
    <t>2440</t>
  </si>
  <si>
    <t>REYES FUENTES SARAI</t>
  </si>
  <si>
    <t>72109104017</t>
  </si>
  <si>
    <t>RODRIGUEZ TAPIA YAZMIN</t>
  </si>
  <si>
    <t>72048610843</t>
  </si>
  <si>
    <t>2459</t>
  </si>
  <si>
    <t>ROMAN VELAZQUEZ LUIS ANGEL</t>
  </si>
  <si>
    <t>15169789110</t>
  </si>
  <si>
    <t>ROMAN VELAZQUEZ YARELI</t>
  </si>
  <si>
    <t>47169998375</t>
  </si>
  <si>
    <t>2422</t>
  </si>
  <si>
    <t>RUBIO ESTRADA FILIBERTO</t>
  </si>
  <si>
    <t>2423</t>
  </si>
  <si>
    <t>SANDOVAL DIAZ DELFINO DANIEL</t>
  </si>
  <si>
    <t>25149778448</t>
  </si>
  <si>
    <t>VAZQUEZ MIRANDA YESLI MACARENA</t>
  </si>
  <si>
    <t>72129219415</t>
  </si>
  <si>
    <t>2437</t>
  </si>
  <si>
    <t>VAZQUEZ VARELA YESENIA</t>
  </si>
  <si>
    <t>26180146347</t>
  </si>
  <si>
    <t>2629</t>
  </si>
  <si>
    <t>ARROYO  ESTRADA ALICIA</t>
  </si>
  <si>
    <t>50210761164</t>
  </si>
  <si>
    <t xml:space="preserve">COSTURERO </t>
  </si>
  <si>
    <t>2445</t>
  </si>
  <si>
    <t>CASTRO GREGORIO ERIK VALFRE</t>
  </si>
  <si>
    <t>18220388245</t>
  </si>
  <si>
    <t>FLORES SALGADO MIGUEL ANGEL</t>
  </si>
  <si>
    <t>83200576318</t>
  </si>
  <si>
    <t>2442</t>
  </si>
  <si>
    <t>GARCIA ESTEBAN JUAN</t>
  </si>
  <si>
    <t>2441</t>
  </si>
  <si>
    <t>HIDALGO CALVARIO RICARDO</t>
  </si>
  <si>
    <t>05219220539</t>
  </si>
  <si>
    <t>2454</t>
  </si>
  <si>
    <t>PALACIOS BALDERAS NORMA</t>
  </si>
  <si>
    <t>02249859717</t>
  </si>
  <si>
    <t>2335</t>
  </si>
  <si>
    <t>SANDOVAL NAVA JUANA ISABEL</t>
  </si>
  <si>
    <t>01230109595</t>
  </si>
  <si>
    <t>2425</t>
  </si>
  <si>
    <t>VAZQUEZ CORIA MARCO ANTONIO</t>
  </si>
  <si>
    <t>72108709923</t>
  </si>
  <si>
    <t>DELANTEROS Y ESPALDAS</t>
  </si>
  <si>
    <t>REYES HERNANDEZ WENDY KATFERIN</t>
  </si>
  <si>
    <t>ENSAMBLE SACO</t>
  </si>
  <si>
    <t>PLANCHA SACO</t>
  </si>
  <si>
    <t>BRUNO BUSTAMANTE JOSE CLEMENTE</t>
  </si>
  <si>
    <t>OCAMPO REYES MA. DE LOS ANGELES</t>
  </si>
  <si>
    <t>SALGADO JUAREZ CARLOS EDUARDO</t>
  </si>
  <si>
    <t>ZARAGOZA JUAREZ J. NICOLAS</t>
  </si>
  <si>
    <t>BAHENA ADAN BRIANDA IVETTE</t>
  </si>
  <si>
    <t>DIAZ CHAVEZ MIRIAM YOLET</t>
  </si>
  <si>
    <t>MORALES PANIAGUA MONSERRAT OFELIA</t>
  </si>
  <si>
    <t>SEGUNDA MANGAS</t>
  </si>
  <si>
    <t>TERMINADO DE SACO</t>
  </si>
  <si>
    <t>ARROYO ESTRADA ALICIA</t>
  </si>
  <si>
    <t>MOJICA SANCHEZ KENIA RUBI</t>
  </si>
  <si>
    <t>VELAZQUEZ FIGUEROA STEFANNY</t>
  </si>
  <si>
    <t>2174</t>
  </si>
  <si>
    <t>AVILA ROMAN ELENA</t>
  </si>
  <si>
    <t>72978214657</t>
  </si>
  <si>
    <t>PANTALON</t>
  </si>
  <si>
    <t>DELANTEROS Y TRASEROS PANTALON</t>
  </si>
  <si>
    <t>2210</t>
  </si>
  <si>
    <t>MALDONADO MENDOZA MARIA GUADALUPE</t>
  </si>
  <si>
    <t>02220263608</t>
  </si>
  <si>
    <t>2148</t>
  </si>
  <si>
    <t>MENDOZA ESTRADA CRICELDA</t>
  </si>
  <si>
    <t>2161</t>
  </si>
  <si>
    <t>ROMAN ANTUNEZ SALVADOR</t>
  </si>
  <si>
    <t>72978214103</t>
  </si>
  <si>
    <t>ABREGO ANGUIANO MARCOS</t>
  </si>
  <si>
    <t>72988003389</t>
  </si>
  <si>
    <t>AGUILAR MELCHOR MARIA</t>
  </si>
  <si>
    <t>72099102773</t>
  </si>
  <si>
    <t>2150</t>
  </si>
  <si>
    <t>ALVARADO RANGEL MARIBEL</t>
  </si>
  <si>
    <t>2146</t>
  </si>
  <si>
    <t>ARANDA GUZMAN ROSA ELIA</t>
  </si>
  <si>
    <t>2163</t>
  </si>
  <si>
    <t>BANDERA MONTIEL ROBERTO</t>
  </si>
  <si>
    <t>15896722376</t>
  </si>
  <si>
    <t>2149</t>
  </si>
  <si>
    <t>BARRERA BENITEZ WILLVER ABIMAEL</t>
  </si>
  <si>
    <t>02229711888</t>
  </si>
  <si>
    <t>BELTRAN ALVAREZ ANA GUILLERMINA</t>
  </si>
  <si>
    <t>02220597658</t>
  </si>
  <si>
    <t>BENIGNO VILLANUEVA VICTOR MANUEL</t>
  </si>
  <si>
    <t>19190023283</t>
  </si>
  <si>
    <t>2156</t>
  </si>
  <si>
    <t>DE LA CRUZ AVILES DOMINGO</t>
  </si>
  <si>
    <t>04169670991</t>
  </si>
  <si>
    <t>2154</t>
  </si>
  <si>
    <t>DE LA CRUZ AVILES GUILLERMO</t>
  </si>
  <si>
    <t>2139</t>
  </si>
  <si>
    <t>ESTRADA SANDOVAL RUBICELIA</t>
  </si>
  <si>
    <t>72028204336</t>
  </si>
  <si>
    <t>FELIPE CILIO MARIA GUADALUPE</t>
  </si>
  <si>
    <t>75180374706</t>
  </si>
  <si>
    <t>FERNANDEZ ARROYO ANGELES JOSELINE</t>
  </si>
  <si>
    <t>53200677473</t>
  </si>
  <si>
    <t>2167</t>
  </si>
  <si>
    <t>GONZALEZ MARQUINA AGUSTINA</t>
  </si>
  <si>
    <t>2176</t>
  </si>
  <si>
    <t>JERONIMO SATENDER LILIA</t>
  </si>
  <si>
    <t>72018418037</t>
  </si>
  <si>
    <t>2145</t>
  </si>
  <si>
    <t>LAGUNAS SANCHEZ GRISELDA</t>
  </si>
  <si>
    <t>06168489349</t>
  </si>
  <si>
    <t>2172</t>
  </si>
  <si>
    <t>LARA VILLANUEVA KARLA ISI</t>
  </si>
  <si>
    <t>72048412026</t>
  </si>
  <si>
    <t>MARIN ORTIZ ZAIDA</t>
  </si>
  <si>
    <t>35149306892</t>
  </si>
  <si>
    <t>2171</t>
  </si>
  <si>
    <t>MARTINEZ MENDOZA SELENA LIZBETH</t>
  </si>
  <si>
    <t>33169881795</t>
  </si>
  <si>
    <t>2138</t>
  </si>
  <si>
    <t>MAYA VAZQUEZ VICTOR MANUEL</t>
  </si>
  <si>
    <t>72119304086</t>
  </si>
  <si>
    <t>2173</t>
  </si>
  <si>
    <t>MONTIEL PERALTA TOMASA</t>
  </si>
  <si>
    <t>72008107327</t>
  </si>
  <si>
    <t>2137</t>
  </si>
  <si>
    <t>MORALES SALINAS RAYMUNDO</t>
  </si>
  <si>
    <t>2142</t>
  </si>
  <si>
    <t>MORENO ADAN ROBERTO</t>
  </si>
  <si>
    <t>2175</t>
  </si>
  <si>
    <t>OLEA PALACIOS ROSARIO PAOLA</t>
  </si>
  <si>
    <t>49170150616</t>
  </si>
  <si>
    <t xml:space="preserve">RAMIREZ ORTIZ ADELIA </t>
  </si>
  <si>
    <t>72119308558</t>
  </si>
  <si>
    <t>2151</t>
  </si>
  <si>
    <t>REYES AVILES MALU</t>
  </si>
  <si>
    <t>72916830408</t>
  </si>
  <si>
    <t>2179</t>
  </si>
  <si>
    <t>ROBLES FLORES VICTORIA</t>
  </si>
  <si>
    <t>72058736157</t>
  </si>
  <si>
    <t>RUEDA OLIVARES GABRIEL</t>
  </si>
  <si>
    <t>86180497249</t>
  </si>
  <si>
    <t>RUEDA RAMIREZ MIGUEL</t>
  </si>
  <si>
    <t>19250740875</t>
  </si>
  <si>
    <t>2168</t>
  </si>
  <si>
    <t>SANCHEZ CORTES VICTORICO</t>
  </si>
  <si>
    <t>2164</t>
  </si>
  <si>
    <t>SANTOS SANCHES EDUARDO</t>
  </si>
  <si>
    <t>72058210625</t>
  </si>
  <si>
    <t>2159</t>
  </si>
  <si>
    <t>SOLANO ALVARADO MELECIO</t>
  </si>
  <si>
    <t>72028608536</t>
  </si>
  <si>
    <t>2166</t>
  </si>
  <si>
    <t>SOLIS ALMONTE HILDA</t>
  </si>
  <si>
    <t>39876301134</t>
  </si>
  <si>
    <t>TAPIA MARTINEZ MARIA DOLORES</t>
  </si>
  <si>
    <t>72957454076</t>
  </si>
  <si>
    <t>2104</t>
  </si>
  <si>
    <t>VALENTE GARCIA EDIVINA</t>
  </si>
  <si>
    <t>72057904145</t>
  </si>
  <si>
    <t>VALLADARES VALLE JOSEFA</t>
  </si>
  <si>
    <t>02258474952</t>
  </si>
  <si>
    <t>2130</t>
  </si>
  <si>
    <t>VAZQUEZ MORALES JESUS</t>
  </si>
  <si>
    <t>72988115001</t>
  </si>
  <si>
    <t>2165</t>
  </si>
  <si>
    <t>VAZQUEZ VAZQUEZ BERENICE</t>
  </si>
  <si>
    <t>05219877965</t>
  </si>
  <si>
    <t>2155</t>
  </si>
  <si>
    <t>VILLASANA GONZALEZ VIRGEN FATIMA</t>
  </si>
  <si>
    <t>2153</t>
  </si>
  <si>
    <t>SOLANO URIOSTEGUI EDUARDO</t>
  </si>
  <si>
    <t>2214</t>
  </si>
  <si>
    <t>DOMINGUEZ HERNANDEZ MONSERRAT</t>
  </si>
  <si>
    <t>26220571272</t>
  </si>
  <si>
    <t>ENSAMBLE DE PANTALON</t>
  </si>
  <si>
    <t>2209</t>
  </si>
  <si>
    <t>PEREZ HAUEJOTE FABIOLA</t>
  </si>
  <si>
    <t>05230314741</t>
  </si>
  <si>
    <t>2199</t>
  </si>
  <si>
    <t>SOTELO BAHENA EDUARDO YAHIR</t>
  </si>
  <si>
    <t>72128801973</t>
  </si>
  <si>
    <t>VILLANUEVA FLORES JESUS ANTONIO</t>
  </si>
  <si>
    <t>25200431366</t>
  </si>
  <si>
    <t>2195</t>
  </si>
  <si>
    <t>CASTAÑEDA HERNANDEZ NALLELY</t>
  </si>
  <si>
    <t>2194</t>
  </si>
  <si>
    <t>FLORES MENDEZ ELVIRA</t>
  </si>
  <si>
    <t>72917341686</t>
  </si>
  <si>
    <t>2191</t>
  </si>
  <si>
    <t>FLORES MENDIS GONSALA</t>
  </si>
  <si>
    <t>72897220470</t>
  </si>
  <si>
    <t>2213</t>
  </si>
  <si>
    <t>HERNANDEZ DIAZ JUANA</t>
  </si>
  <si>
    <t>72917344193</t>
  </si>
  <si>
    <t>2204</t>
  </si>
  <si>
    <t>HERNANDEZ GONZALEZ LUISA</t>
  </si>
  <si>
    <t>72008408998</t>
  </si>
  <si>
    <t>2205</t>
  </si>
  <si>
    <t>LAZARO ABREGO TALINA ERIKA SELENE</t>
  </si>
  <si>
    <t>72038204672</t>
  </si>
  <si>
    <t>2197</t>
  </si>
  <si>
    <t>MILLAN ARELLANO HERIBERTO</t>
  </si>
  <si>
    <t>2216</t>
  </si>
  <si>
    <t>PINEDA CRUZ EFIGENIO</t>
  </si>
  <si>
    <t>72068714129</t>
  </si>
  <si>
    <t>PORRAS JUAREZ GRISEL</t>
  </si>
  <si>
    <t>72998202062</t>
  </si>
  <si>
    <t>2207</t>
  </si>
  <si>
    <t>RODRIGUEZ HERNANDEZ JUAN CARLOS</t>
  </si>
  <si>
    <t>2200</t>
  </si>
  <si>
    <t>ROMAN ARZOLA CHALLANNE</t>
  </si>
  <si>
    <t>72129509740</t>
  </si>
  <si>
    <t>2206</t>
  </si>
  <si>
    <t>RUEDA PORRAS ELPIDIO</t>
  </si>
  <si>
    <t>2193</t>
  </si>
  <si>
    <t>SANTOS SANCHEZ CECILIA</t>
  </si>
  <si>
    <t>72089302359</t>
  </si>
  <si>
    <t>2202</t>
  </si>
  <si>
    <t>SOLANO HERNANDEZ LUIS JAVIER</t>
  </si>
  <si>
    <t>2215</t>
  </si>
  <si>
    <t>VISOSO ZAVALETA PATRICIA</t>
  </si>
  <si>
    <t>02248331882</t>
  </si>
  <si>
    <t>2196</t>
  </si>
  <si>
    <t>ANAYA HERNANDEZ JUAN JOSE</t>
  </si>
  <si>
    <t>72028420122</t>
  </si>
  <si>
    <t>2212</t>
  </si>
  <si>
    <t>FIERROS AGUIRRE DAMIAN</t>
  </si>
  <si>
    <t>03218223612</t>
  </si>
  <si>
    <t>ZARAGOZA  JUAREZ J. NICOLAS</t>
  </si>
  <si>
    <t>06190013240</t>
  </si>
  <si>
    <t>PLANCHA DE PANTALON</t>
  </si>
  <si>
    <t>2289</t>
  </si>
  <si>
    <t>ANTUNEZ MELGOZA JUAN PABLO</t>
  </si>
  <si>
    <t>02238014415</t>
  </si>
  <si>
    <t>2291</t>
  </si>
  <si>
    <t>ANZURES MARTINEZ ANGEL</t>
  </si>
  <si>
    <t>38220535215</t>
  </si>
  <si>
    <t>2288</t>
  </si>
  <si>
    <t>ENCISO ORTIZ JULIO ADAN</t>
  </si>
  <si>
    <t>72129411699</t>
  </si>
  <si>
    <t>2287</t>
  </si>
  <si>
    <t>MORENO GUERRERO VICTOR</t>
  </si>
  <si>
    <t>72998201577</t>
  </si>
  <si>
    <t>2286</t>
  </si>
  <si>
    <t>REBOLLEDO ESTRADA EVARISTO</t>
  </si>
  <si>
    <t>72118500619</t>
  </si>
  <si>
    <t>2290</t>
  </si>
  <si>
    <t>SALGADO CASTILLO MIGUEL ANGEL</t>
  </si>
  <si>
    <t>72987821209</t>
  </si>
  <si>
    <t>2321</t>
  </si>
  <si>
    <t>08179683357</t>
  </si>
  <si>
    <t>2319</t>
  </si>
  <si>
    <t>2140</t>
  </si>
  <si>
    <t>08158892763</t>
  </si>
  <si>
    <t>2409</t>
  </si>
  <si>
    <t>ANTONIO ANALCO CAROLINA</t>
  </si>
  <si>
    <t>04128202324</t>
  </si>
  <si>
    <t>TERMINADO DE PANTALON</t>
  </si>
  <si>
    <t>2411</t>
  </si>
  <si>
    <t>APONTE BATALLA VIVIANA</t>
  </si>
  <si>
    <t>72139425341</t>
  </si>
  <si>
    <t>2418</t>
  </si>
  <si>
    <t>COLIN CORRAL ABEDULIA</t>
  </si>
  <si>
    <t>38169653268</t>
  </si>
  <si>
    <t>2410</t>
  </si>
  <si>
    <t>DAMIAN LARA GUILLERMINA</t>
  </si>
  <si>
    <t>HERNANDEZ SALGADO ANGELICA GUADALUPE</t>
  </si>
  <si>
    <t>03258710536</t>
  </si>
  <si>
    <t>2131</t>
  </si>
  <si>
    <t>MAYO HERNANDEZ MARIA ELENA</t>
  </si>
  <si>
    <t>01229446206</t>
  </si>
  <si>
    <t>2208</t>
  </si>
  <si>
    <t>MENDOZA VAZQUEZ MA. LOURDES</t>
  </si>
  <si>
    <t>03217535420</t>
  </si>
  <si>
    <t>2415</t>
  </si>
  <si>
    <t>REYES BARTOLO SEBASTIAN</t>
  </si>
  <si>
    <t>02178759698</t>
  </si>
  <si>
    <t xml:space="preserve">VIDAL GALVAN LILIAN MAGALY </t>
  </si>
  <si>
    <t>50179937961</t>
  </si>
  <si>
    <t>2413</t>
  </si>
  <si>
    <t>APONTE BATALLA GUADALUPE ESTEFANY</t>
  </si>
  <si>
    <t>72139111933</t>
  </si>
  <si>
    <t>2416</t>
  </si>
  <si>
    <t>CASTRO MONTAÑO GABRIELA</t>
  </si>
  <si>
    <t>05189048407</t>
  </si>
  <si>
    <t>2421</t>
  </si>
  <si>
    <t>FUENTES MONTIEL ANGEL DAMIAN</t>
  </si>
  <si>
    <t>38240604934</t>
  </si>
  <si>
    <t>2419</t>
  </si>
  <si>
    <t>GALEANA ROMERO JOSE GUADALUPE</t>
  </si>
  <si>
    <t>06169349260</t>
  </si>
  <si>
    <t>2406</t>
  </si>
  <si>
    <t>GONZALEZ GALINDO ELIZABETH</t>
  </si>
  <si>
    <t>72139607922</t>
  </si>
  <si>
    <t>2407</t>
  </si>
  <si>
    <t>GUTIERREZ CARTEÑO VICTORIA</t>
  </si>
  <si>
    <t>02237512278</t>
  </si>
  <si>
    <t>MOJICA FLORES GUSTAVO</t>
  </si>
  <si>
    <t>72138707061</t>
  </si>
  <si>
    <t>2404</t>
  </si>
  <si>
    <t>TORRES MARCHAN LIZXANDRA</t>
  </si>
  <si>
    <t>19179786389</t>
  </si>
  <si>
    <t>2417</t>
  </si>
  <si>
    <t>VARGAS ACOSTA RUBEN</t>
  </si>
  <si>
    <t>72139015910</t>
  </si>
  <si>
    <t>DELANTEROS Y TRASEROS</t>
  </si>
  <si>
    <t>RAMIREZ ORTIZ ADELIA</t>
  </si>
  <si>
    <t>ENSAMBLE PANTALÓN</t>
  </si>
  <si>
    <t>ROMAN ARZOLA CHALLANE</t>
  </si>
  <si>
    <t>PLANCHA PANTALÓN</t>
  </si>
  <si>
    <t>ACATITLAN MORALES ISABEL</t>
  </si>
  <si>
    <t>TERMINADO PANTALÓN</t>
  </si>
  <si>
    <t>MOJICA  FLORES GUSTAVO</t>
  </si>
  <si>
    <t>VIDAL GALVAN LILIAN MAGALY</t>
  </si>
  <si>
    <t>Nomina Mensual:</t>
  </si>
  <si>
    <t>Incentivo Mensual:</t>
  </si>
  <si>
    <t>Total Costo Mensual Corte:</t>
  </si>
  <si>
    <t>Total Costo Mensual Saco:</t>
  </si>
  <si>
    <t>55 personas de 62 ganan Incentivo tasa del %</t>
  </si>
  <si>
    <t>126 de 171 personas ganan Incentivo tasa del :</t>
  </si>
  <si>
    <t>Costurero</t>
  </si>
  <si>
    <t>Planchador</t>
  </si>
  <si>
    <t>Ayudante General</t>
  </si>
  <si>
    <t>Número Personas</t>
  </si>
  <si>
    <t>52 de 93 personas ganan Incentivo tasa del :</t>
  </si>
  <si>
    <t>Monto Mensual Nomina</t>
  </si>
  <si>
    <t>Nomina Mensual</t>
  </si>
  <si>
    <t>233 de 326 personas ganan Incentivo tasa del :</t>
  </si>
  <si>
    <t>Nomina Anual</t>
  </si>
  <si>
    <t>Análisis de Nomina</t>
  </si>
  <si>
    <t>Nomina Mensual Operadores</t>
  </si>
  <si>
    <t>Objetivo de Producción</t>
  </si>
  <si>
    <t>Proporción Personas -Prendas</t>
  </si>
  <si>
    <t>NOMBRE</t>
  </si>
  <si>
    <t>DEPARTAMENTO</t>
  </si>
  <si>
    <t>SUELDO NETO FISCAL</t>
  </si>
  <si>
    <t>SUELDO DIFERENCIAS</t>
  </si>
  <si>
    <t>INCENTIVO SEMANAL</t>
  </si>
  <si>
    <t>TOTAL</t>
  </si>
  <si>
    <t>ADAME RANGEL MARIA AZUCENA</t>
  </si>
  <si>
    <t>ADMINISTRACIÓN</t>
  </si>
  <si>
    <t>AGUIRRE RUIZ BRANDON</t>
  </si>
  <si>
    <t>BAHENA DE JESUS JOSE MANUEL</t>
  </si>
  <si>
    <t>CASTILLO VISOSO DIANA ITZELL</t>
  </si>
  <si>
    <t>CATALAN SANCHEZ JORGE</t>
  </si>
  <si>
    <t>FERNANDEZ ARROYO MARIA GUADALUPE</t>
  </si>
  <si>
    <t xml:space="preserve">HIDALGO REMIGIO FRANCISCO JAVIER </t>
  </si>
  <si>
    <t xml:space="preserve">LANDA NUÑEZ ALBERTO </t>
  </si>
  <si>
    <t>PINEDA ORTIZ GABRIEL OMAR</t>
  </si>
  <si>
    <t>PIÑAN MARTINEZ JORGE ENRIQUE</t>
  </si>
  <si>
    <t>PUGA CARREÑO ADRIANA</t>
  </si>
  <si>
    <t>ROMERO VILLANUEVA YESENIA</t>
  </si>
  <si>
    <t>SALGADO SALADO CRISTINA</t>
  </si>
  <si>
    <t>SANCHEZ PAREDES JULIANA</t>
  </si>
  <si>
    <t>VAZQUEZ VARELA DIANA LAURA</t>
  </si>
  <si>
    <t>ZUÑIGA HUITRON ALEJANDRA GEORGINA</t>
  </si>
  <si>
    <t>ALARCON CARRANZA GERARDO EMILIO</t>
  </si>
  <si>
    <t>ALMACENES Y MECANICOS</t>
  </si>
  <si>
    <t>AVILA LOZANO GILBERTO</t>
  </si>
  <si>
    <t>CATALAN ROMAN JUAN ANTONIO</t>
  </si>
  <si>
    <t>FARIAS GAMA JOSE ANTONIO</t>
  </si>
  <si>
    <t>MARTINEZ MASTACHE ALEJANDRO</t>
  </si>
  <si>
    <t>PINEDA GUZMAN MIGUEL</t>
  </si>
  <si>
    <t>RAMIREZ ORTIZ LUCIO</t>
  </si>
  <si>
    <t>REYES ABADICIO ORLANDO</t>
  </si>
  <si>
    <t>ROMERO DIAZ RENATO</t>
  </si>
  <si>
    <t>RUEDA CARREON AZIEL EMIR</t>
  </si>
  <si>
    <t>SALGADO ADUNAS LUCIO</t>
  </si>
  <si>
    <t>VALTIERRA ROJAS GUSTAVO</t>
  </si>
  <si>
    <t>ALAMO BRITO BEATRIZ</t>
  </si>
  <si>
    <t>DISEÑO</t>
  </si>
  <si>
    <t>GARCIA CHANON ANDREA</t>
  </si>
  <si>
    <t>GARCIA PACHECO AMERICA MICHELLE</t>
  </si>
  <si>
    <t>MIRANDA ROLDAN ANA GRISSELL</t>
  </si>
  <si>
    <t>QUIJANO DELGADO ERIKA YACCENI</t>
  </si>
  <si>
    <t>SEGURA ARMAS CARIME CITLALI</t>
  </si>
  <si>
    <t>ZUBILLAGA OSORIO DIANA GUADALUPE</t>
  </si>
  <si>
    <t>PERALTA MARTINEZ IRENE</t>
  </si>
  <si>
    <t>VARELA ZAPOTE RAQUEL</t>
  </si>
  <si>
    <t>SUPERVISORES</t>
  </si>
  <si>
    <t>ARAMBURO LAGUNAS CINTHYA XOCHITL</t>
  </si>
  <si>
    <t>BRITO GONZALEZ ROCIO SELENE</t>
  </si>
  <si>
    <t>BRITO LOPEZ MARLEN</t>
  </si>
  <si>
    <t>CATALAN SANCHEZ ROBERTO</t>
  </si>
  <si>
    <t>CALDERON MARTINEZ ADRIANA ESTEFANIA</t>
  </si>
  <si>
    <t>GONZALEZ MARQUINA MAYDY</t>
  </si>
  <si>
    <t>HERNANDEZ BATALLA LEIDY ANGELICA</t>
  </si>
  <si>
    <t>MALDONADO BAHENA VICTOR ULISES</t>
  </si>
  <si>
    <t>ROMAN RANGEL ALHELI GILBERTA</t>
  </si>
  <si>
    <t>SALVADOR BAHENA LIDOINE</t>
  </si>
  <si>
    <t>ENRIQUEZ MONCADA GERARDO</t>
  </si>
  <si>
    <t>CONFIANZA / DIFERENCIAS</t>
  </si>
  <si>
    <t>GOMEZ RAMIREZ TOMACITA</t>
  </si>
  <si>
    <t>SUPERVISORES / DIFERENCIAS</t>
  </si>
  <si>
    <t>Gsato Mensual</t>
  </si>
  <si>
    <t>Fiscal</t>
  </si>
  <si>
    <t>Diferencias</t>
  </si>
  <si>
    <t>Gasto Dif</t>
  </si>
  <si>
    <t>Total Gasto anual</t>
  </si>
  <si>
    <t>Costo de Diferencias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</si>
</sst>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_-[$$-80A]* #,##0.00_-;\-[$$-80A]* #,##0.00_-;_-[$$-80A]* &quot;-&quot;??_-;_-@_-"/>
    <numFmt numFmtId="165" formatCode="&quot;$&quot;#,##0.00"/>
    <numFmt numFmtId="166" formatCode="0.0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FF"/>
      <name val="Arial Nova Cond Light"/>
      <family val="2"/>
    </font>
    <font>
      <sz val="12"/>
      <color rgb="FF000000"/>
      <name val="Arial Nova Cond Light"/>
      <family val="2"/>
    </font>
    <font>
      <sz val="12"/>
      <name val="Arial Nova Cond Light"/>
      <family val="2"/>
    </font>
    <font>
      <sz val="12"/>
      <color theme="1"/>
      <name val="Arial Nova Cond Light"/>
      <family val="2"/>
    </font>
    <font>
      <sz val="12"/>
      <color rgb="FFFF0000"/>
      <name val="Arial Nova Cond Light"/>
      <family val="2"/>
    </font>
    <font>
      <b/>
      <sz val="11"/>
      <color theme="0"/>
      <name val="Arial Nova Cond Light"/>
      <family val="2"/>
    </font>
    <font>
      <b/>
      <sz val="10"/>
      <color theme="0"/>
      <name val="Arial Nova Cond Light"/>
      <family val="2"/>
    </font>
    <font>
      <sz val="8"/>
      <name val="Arial Nova Cond  "/>
    </font>
    <font>
      <sz val="10"/>
      <name val="Arial Nova Cond  "/>
    </font>
    <font>
      <sz val="10"/>
      <name val="Arial"/>
      <family val="2"/>
    </font>
    <font>
      <b/>
      <sz val="11"/>
      <color rgb="FFFFFFFF"/>
      <name val="Arial Nova Cond Light"/>
      <family val="2"/>
    </font>
    <font>
      <sz val="11"/>
      <color rgb="FF000000"/>
      <name val="Arial Nova Cond Light"/>
      <family val="2"/>
    </font>
    <font>
      <sz val="11"/>
      <name val="Arial Nova Cond Light"/>
      <family val="2"/>
    </font>
    <font>
      <sz val="11"/>
      <color theme="1"/>
      <name val="Arial Nova Cond Light"/>
      <family val="2"/>
    </font>
    <font>
      <sz val="11"/>
      <name val="Arial Nova Cond  "/>
    </font>
    <font>
      <sz val="11"/>
      <color rgb="FFFF0000"/>
      <name val="Arial Nova Cond Light"/>
      <family val="2"/>
    </font>
    <font>
      <b/>
      <sz val="11"/>
      <color theme="1"/>
      <name val="Aptos Narrow"/>
      <family val="2"/>
      <scheme val="minor"/>
    </font>
    <font>
      <sz val="18"/>
      <color rgb="FF31333F"/>
      <name val="Arial"/>
      <family val="2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1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Fill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4" fontId="0" fillId="0" borderId="0" xfId="1" applyFont="1" applyFill="1"/>
    <xf numFmtId="44" fontId="0" fillId="0" borderId="0" xfId="0" applyNumberFormat="1"/>
    <xf numFmtId="49" fontId="3" fillId="0" borderId="1" xfId="0" quotePrefix="1" applyNumberFormat="1" applyFont="1" applyBorder="1" applyAlignment="1">
      <alignment horizontal="center"/>
    </xf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44" fontId="5" fillId="0" borderId="1" xfId="1" applyFont="1" applyBorder="1"/>
    <xf numFmtId="14" fontId="6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4" fontId="2" fillId="2" borderId="0" xfId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9" fillId="0" borderId="1" xfId="2" applyNumberFormat="1" applyFont="1" applyBorder="1"/>
    <xf numFmtId="44" fontId="10" fillId="0" borderId="1" xfId="1" applyFont="1" applyBorder="1"/>
    <xf numFmtId="0" fontId="7" fillId="2" borderId="0" xfId="0" applyFont="1" applyFill="1" applyAlignment="1">
      <alignment horizontal="center" vertical="center"/>
    </xf>
    <xf numFmtId="2" fontId="8" fillId="2" borderId="0" xfId="0" applyNumberFormat="1" applyFont="1" applyFill="1" applyAlignment="1">
      <alignment horizontal="center" vertical="center"/>
    </xf>
    <xf numFmtId="49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44" fontId="12" fillId="2" borderId="0" xfId="1" applyFont="1" applyFill="1" applyBorder="1" applyAlignment="1">
      <alignment horizontal="center" vertical="center" wrapText="1"/>
    </xf>
    <xf numFmtId="2" fontId="7" fillId="2" borderId="0" xfId="0" applyNumberFormat="1" applyFont="1" applyFill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/>
    </xf>
    <xf numFmtId="0" fontId="14" fillId="0" borderId="1" xfId="0" applyFont="1" applyBorder="1"/>
    <xf numFmtId="49" fontId="15" fillId="0" borderId="1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/>
    <xf numFmtId="44" fontId="15" fillId="0" borderId="1" xfId="1" applyFont="1" applyBorder="1"/>
    <xf numFmtId="165" fontId="16" fillId="0" borderId="1" xfId="2" applyNumberFormat="1" applyFont="1" applyBorder="1"/>
    <xf numFmtId="44" fontId="16" fillId="0" borderId="1" xfId="1" applyFont="1" applyBorder="1"/>
    <xf numFmtId="14" fontId="17" fillId="0" borderId="1" xfId="0" applyNumberFormat="1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7" fillId="0" borderId="1" xfId="0" applyFont="1" applyBorder="1"/>
    <xf numFmtId="49" fontId="14" fillId="0" borderId="1" xfId="0" quotePrefix="1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44" fontId="14" fillId="0" borderId="1" xfId="1" applyFont="1" applyBorder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/>
    <xf numFmtId="0" fontId="16" fillId="0" borderId="0" xfId="0" applyFont="1"/>
    <xf numFmtId="44" fontId="16" fillId="0" borderId="0" xfId="0" applyNumberFormat="1" applyFont="1"/>
    <xf numFmtId="49" fontId="5" fillId="0" borderId="1" xfId="0" quotePrefix="1" applyNumberFormat="1" applyFont="1" applyBorder="1" applyAlignment="1">
      <alignment horizontal="center"/>
    </xf>
    <xf numFmtId="0" fontId="9" fillId="0" borderId="0" xfId="0" applyFont="1"/>
    <xf numFmtId="44" fontId="10" fillId="0" borderId="0" xfId="0" applyNumberFormat="1" applyFont="1"/>
    <xf numFmtId="166" fontId="0" fillId="0" borderId="0" xfId="0" applyNumberFormat="1" applyAlignment="1">
      <alignment horizontal="right"/>
    </xf>
    <xf numFmtId="44" fontId="0" fillId="0" borderId="0" xfId="1" applyFont="1"/>
    <xf numFmtId="44" fontId="0" fillId="0" borderId="2" xfId="1" applyFont="1" applyBorder="1"/>
    <xf numFmtId="10" fontId="18" fillId="0" borderId="0" xfId="4" applyNumberFormat="1" applyFont="1" applyAlignment="1">
      <alignment horizontal="center"/>
    </xf>
    <xf numFmtId="44" fontId="0" fillId="0" borderId="0" xfId="1" applyFont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0" xfId="0" applyNumberFormat="1" applyAlignment="1">
      <alignment horizontal="center"/>
    </xf>
    <xf numFmtId="44" fontId="19" fillId="0" borderId="0" xfId="1" applyFont="1"/>
    <xf numFmtId="8" fontId="19" fillId="0" borderId="0" xfId="1" applyNumberFormat="1" applyFont="1"/>
    <xf numFmtId="0" fontId="0" fillId="0" borderId="0" xfId="0" applyAlignment="1">
      <alignment horizontal="left"/>
    </xf>
    <xf numFmtId="0" fontId="18" fillId="3" borderId="3" xfId="0" applyFont="1" applyFill="1" applyBorder="1" applyAlignment="1">
      <alignment horizontal="center" vertical="center"/>
    </xf>
    <xf numFmtId="44" fontId="18" fillId="3" borderId="3" xfId="1" applyFont="1" applyFill="1" applyBorder="1" applyAlignment="1">
      <alignment horizontal="center" vertical="center" wrapText="1"/>
    </xf>
    <xf numFmtId="44" fontId="18" fillId="0" borderId="0" xfId="1" applyFont="1" applyAlignment="1">
      <alignment horizontal="center"/>
    </xf>
    <xf numFmtId="0" fontId="0" fillId="4" borderId="3" xfId="0" applyFill="1" applyBorder="1" applyAlignment="1">
      <alignment horizontal="center"/>
    </xf>
    <xf numFmtId="44" fontId="0" fillId="4" borderId="3" xfId="1" applyFont="1" applyFill="1" applyBorder="1" applyAlignment="1">
      <alignment horizontal="center"/>
    </xf>
    <xf numFmtId="44" fontId="0" fillId="4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1" applyFon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3" xfId="1" applyFont="1" applyFill="1" applyBorder="1" applyAlignment="1">
      <alignment horizontal="center"/>
    </xf>
    <xf numFmtId="44" fontId="18" fillId="0" borderId="0" xfId="0" applyNumberFormat="1" applyFont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1" fillId="0" borderId="2" xfId="2" applyNumberFormat="1" applyBorder="1" applyAlignment="1">
      <alignment horizontal="center"/>
    </xf>
    <xf numFmtId="9" fontId="0" fillId="0" borderId="0" xfId="4" applyFont="1" applyFill="1"/>
    <xf numFmtId="10" fontId="18" fillId="5" borderId="0" xfId="4" applyNumberFormat="1" applyFont="1" applyFill="1" applyAlignment="1">
      <alignment horizontal="center"/>
    </xf>
    <xf numFmtId="164" fontId="20" fillId="0" borderId="0" xfId="1" applyNumberFormat="1" applyFont="1" applyFill="1"/>
    <xf numFmtId="164" fontId="0" fillId="4" borderId="0" xfId="1" applyNumberFormat="1" applyFont="1" applyFill="1"/>
    <xf numFmtId="164" fontId="0" fillId="6" borderId="0" xfId="1" applyNumberFormat="1" applyFont="1" applyFill="1"/>
    <xf numFmtId="164" fontId="0" fillId="0" borderId="1" xfId="1" applyNumberFormat="1" applyFont="1" applyBorder="1"/>
    <xf numFmtId="0" fontId="0" fillId="0" borderId="0" xfId="1" applyNumberFormat="1" applyFont="1" applyFill="1"/>
    <xf numFmtId="1" fontId="0" fillId="0" borderId="0" xfId="1" applyNumberFormat="1" applyFont="1" applyFill="1"/>
  </cellXfs>
  <cellStyles count="5">
    <cellStyle name="Moneda" xfId="1" builtinId="4"/>
    <cellStyle name="Normal" xfId="0" builtinId="0"/>
    <cellStyle name="Normal 2" xfId="2" xr:uid="{36BB01DA-D214-4A19-8A0D-107BD716F896}"/>
    <cellStyle name="Normal 3" xfId="3" xr:uid="{9B0EBFB0-9626-42B2-9913-9A0583EB764A}"/>
    <cellStyle name="Porcentaje" xfId="4" builtinId="5"/>
  </cellStyles>
  <dxfs count="10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 Cond  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 Cond  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ova Cond  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ova Cond  "/>
        <scheme val="none"/>
      </font>
      <numFmt numFmtId="165" formatCode="&quot;$&quot;#,##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ova Cond  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ova Cond  "/>
        <scheme val="none"/>
      </font>
      <numFmt numFmtId="165" formatCode="&quot;$&quot;#,##0.0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numFmt numFmtId="34" formatCode="_-&quot;$&quot;* #,##0.00_-;\-&quot;$&quot;* #,##0.00_-;_-&quot;$&quot;* &quot;-&quot;??_-;_-@_-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 Cond Light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 Cond Light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 Light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 Nova Cond Light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 Cond  "/>
        <scheme val="none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 Cond  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ova Cond  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ova Cond  "/>
        <scheme val="none"/>
      </font>
      <numFmt numFmtId="165" formatCode="&quot;$&quot;#,##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ova Cond  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ova Cond  "/>
        <scheme val="none"/>
      </font>
      <numFmt numFmtId="165" formatCode="&quot;$&quot;#,##0.0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numFmt numFmtId="0" formatCode="General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ova Cond Light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 Cond Light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 Cond Light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 Light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 Nova Cond Light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ova Cond  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ova Cond  "/>
        <scheme val="none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ova Cond  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ova Cond  "/>
        <scheme val="none"/>
      </font>
      <numFmt numFmtId="165" formatCode="&quot;$&quot;#,##0.0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ova Cond  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ova Cond  "/>
        <scheme val="none"/>
      </font>
      <numFmt numFmtId="165" formatCode="&quot;$&quot;#,##0.00"/>
      <border diagonalUp="0" diagonalDown="0" outline="0">
        <left/>
        <right/>
        <top style="thin">
          <color theme="4"/>
        </top>
        <bottom/>
      </border>
    </dxf>
    <dxf>
      <border outline="0"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numFmt numFmtId="0" formatCode="General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Cond Light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ova Cond Light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ova Cond Light"/>
        <family val="2"/>
        <scheme val="none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Cond Light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Cond Light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</font>
    </dxf>
    <dxf>
      <border outline="0">
        <top style="thin">
          <color theme="4"/>
        </top>
      </border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ova Cond Light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80A]* #,##0.00_-;\-[$$-80A]* #,##0.00_-;_-[$$-80A]* &quot;-&quot;??_-;_-@_-"/>
      <fill>
        <patternFill patternType="none">
          <fgColor indexed="64"/>
          <bgColor indexed="65"/>
        </patternFill>
      </fill>
    </dxf>
    <dxf>
      <numFmt numFmtId="164" formatCode="_-[$$-80A]* #,##0.00_-;\-[$$-80A]* #,##0.00_-;_-[$$-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80A]* #,##0.00_-;\-[$$-80A]* #,##0.00_-;_-[$$-80A]* &quot;-&quot;??_-;_-@_-"/>
      <fill>
        <patternFill patternType="none">
          <fgColor indexed="64"/>
          <bgColor indexed="65"/>
        </patternFill>
      </fill>
    </dxf>
    <dxf>
      <numFmt numFmtId="164" formatCode="_-[$$-80A]* #,##0.00_-;\-[$$-80A]* #,##0.00_-;_-[$$-8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80A]* #,##0.00_-;\-[$$-80A]* #,##0.00_-;_-[$$-80A]* &quot;-&quot;??_-;_-@_-"/>
      <fill>
        <patternFill patternType="none">
          <fgColor indexed="64"/>
          <bgColor indexed="65"/>
        </patternFill>
      </fill>
    </dxf>
    <dxf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80A]* #,##0.00_-;\-[$$-80A]* #,##0.00_-;_-[$$-80A]* &quot;-&quot;??_-;_-@_-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73</xdr:row>
      <xdr:rowOff>0</xdr:rowOff>
    </xdr:from>
    <xdr:to>
      <xdr:col>2</xdr:col>
      <xdr:colOff>546100</xdr:colOff>
      <xdr:row>73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5B41AD8-E943-419A-9F37-B98634006337}"/>
            </a:ext>
          </a:extLst>
        </xdr:cNvPr>
        <xdr:cNvSpPr txBox="1"/>
      </xdr:nvSpPr>
      <xdr:spPr>
        <a:xfrm>
          <a:off x="774700" y="13703300"/>
          <a:ext cx="1295400" cy="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Personal</a:t>
          </a:r>
          <a:r>
            <a:rPr lang="es-MX" sz="1100" baseline="0"/>
            <a:t> que se esta capacitando para monitores.</a:t>
          </a:r>
          <a:endParaRPr lang="es-MX" sz="105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ng. Jorge Enrique Piñan" id="{7EFDAC4A-3A51-4769-B903-C4BD27ED19EC}" userId="6854fe02b8d1ccae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90217-E7A1-4FEA-A398-899780E65FAA}" name="Tabla1" displayName="Tabla1" ref="B1:F58" totalsRowCount="1" headerRowDxfId="100" dataDxfId="99" headerRowCellStyle="Moneda" dataCellStyle="Moneda">
  <autoFilter ref="B1:F57" xr:uid="{6EB90217-E7A1-4FEA-A398-899780E65FAA}"/>
  <tableColumns count="5">
    <tableColumn id="1" xr3:uid="{CE2F6E4C-F510-4508-9BEE-BB11D55949FE}" name="Descripción" totalsRowLabel="Total" dataDxfId="98" totalsRowDxfId="97"/>
    <tableColumn id="2" xr3:uid="{06E21045-C627-48EF-B694-EF4352993B4E}" name="Gasto Anual" totalsRowFunction="sum" dataDxfId="96" totalsRowDxfId="95" dataCellStyle="Moneda"/>
    <tableColumn id="3" xr3:uid="{3D9810D2-E39B-4D04-907E-B4F55CB699AB}" name="Gasto Mensual" totalsRowFunction="sum" dataDxfId="94" totalsRowDxfId="93" dataCellStyle="Moneda"/>
    <tableColumn id="4" xr3:uid="{7C504DA3-5AA9-496C-A0F7-20B2B9658113}" name="Tipo de Movimiento" dataDxfId="92" dataCellStyle="Moneda"/>
    <tableColumn id="5" xr3:uid="{13C68182-8A8A-4774-A6CE-40D4E382493E}" name="Área" totalsRowFunction="count" dataDxfId="9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28E7A0-F99C-48E3-8E66-6E3786141864}" name="Tabla2" displayName="Tabla2" ref="A1:J64" totalsRowCount="1" headerRowDxfId="90" dataDxfId="89" totalsRowDxfId="87" tableBorderDxfId="88">
  <autoFilter ref="A1:J63" xr:uid="{B428E7A0-F99C-48E3-8E66-6E3786141864}"/>
  <tableColumns count="10">
    <tableColumn id="1" xr3:uid="{A0450366-B0BF-47AD-93D2-4A6104CC7385}" name="Num Emp." totalsRowLabel="Total" dataDxfId="86" totalsRowDxfId="85"/>
    <tableColumn id="2" xr3:uid="{ED870FB6-06D6-4445-AD36-020DB430B555}" name="Nombre del Trabajador" dataDxfId="84" totalsRowDxfId="83"/>
    <tableColumn id="3" xr3:uid="{BC296558-89DF-46A5-AC04-EFE2D75A6E36}" name="Numero de Seguridad Social" dataDxfId="82" totalsRowDxfId="81"/>
    <tableColumn id="4" xr3:uid="{CDDA9E72-97CF-4E08-B4C6-CD94968AF4F8}" name="Fecha de Ingreso Nomina" dataDxfId="80" totalsRowDxfId="79"/>
    <tableColumn id="5" xr3:uid="{364A5E65-C20C-4C3E-94D9-F1719A656BF0}" name="Fecha de Alta IMSS (OTE)" dataDxfId="78" totalsRowDxfId="77"/>
    <tableColumn id="6" xr3:uid="{527CE9FD-A0F7-44C4-B872-AE5CFBCF936E}" name="Fecha de Antigüedad (GL3)" dataDxfId="76" totalsRowDxfId="75"/>
    <tableColumn id="7" xr3:uid="{57530045-C748-4579-B49C-6027DAD556E7}" name="Departamento" dataDxfId="74" totalsRowDxfId="73"/>
    <tableColumn id="8" xr3:uid="{0F84F546-6227-40C4-9AFA-E29F0FB3198E}" name="Sección" dataDxfId="72" totalsRowDxfId="71"/>
    <tableColumn id="9" xr3:uid="{CC1BC8BA-5A48-4B46-8ECA-A4198872CB90}" name="Puesto" dataDxfId="70" totalsRowDxfId="69"/>
    <tableColumn id="10" xr3:uid="{228EE444-1AF6-4F77-9F37-C7B940BBB15C}" name="Salario Diario" totalsRowFunction="count" dataDxfId="68" totalsRowDxfId="67" dataCellStyle="Moned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608E21-BF05-4B26-90F2-84044F014CEB}" name="Tabla4" displayName="Tabla4" ref="L1:N64" totalsRowCount="1" headerRowDxfId="66" dataDxfId="65" tableBorderDxfId="64">
  <autoFilter ref="L1:N63" xr:uid="{9A608E21-BF05-4B26-90F2-84044F014CEB}">
    <filterColumn colId="2">
      <filters>
        <filter val="$113.00"/>
        <filter val="$169.00"/>
        <filter val="$226.00"/>
        <filter val="$311.00"/>
        <filter val="$339.00"/>
        <filter val="$340.00"/>
        <filter val="$397.00"/>
        <filter val="$424.00"/>
        <filter val="$453.00"/>
        <filter val="$481.00"/>
        <filter val="$509.00"/>
      </filters>
    </filterColumn>
  </autoFilter>
  <tableColumns count="3">
    <tableColumn id="1" xr3:uid="{E9EBB827-8ABF-4467-9632-235C0050D418}" name="NOMBRE DEL TRABAJADOR" totalsRowLabel="Total" dataDxfId="63" totalsRowDxfId="62" dataCellStyle="Normal 2" totalsRowCellStyle="Normal 2"/>
    <tableColumn id="2" xr3:uid="{60C20A08-1DBF-4E0B-9455-CE3DAC86D167}" name="SECCIÓN" totalsRowFunction="count" dataDxfId="61" totalsRowDxfId="60" dataCellStyle="Normal 2"/>
    <tableColumn id="3" xr3:uid="{765366E9-62EB-492F-BB7B-953EC807CB89}" name="INCENTIVO" totalsRowFunction="sum" dataDxfId="59" totalsRowDxfId="58" dataCellStyle="Moneda" totalsRowCellStyle="Moned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2462EA-97D0-451C-93E8-B15D3FD010C7}" name="Tabla5" displayName="Tabla5" ref="A1:J194" totalsRowCount="1" headerRowDxfId="57" tableBorderDxfId="56">
  <autoFilter ref="A1:J193" xr:uid="{B42462EA-97D0-451C-93E8-B15D3FD010C7}">
    <filterColumn colId="7">
      <filters>
        <filter val="DELANTEROS Y ESPALDA"/>
        <filter val="ENSAMBLE DE SACO"/>
        <filter val="SEGUNDA DE MANGAS"/>
        <filter val="SEGUNDA DE VISTAS"/>
        <filter val="TERMINADO SACO"/>
      </filters>
    </filterColumn>
  </autoFilter>
  <tableColumns count="10">
    <tableColumn id="1" xr3:uid="{F6D23459-71A9-486F-919B-9E5DA35206C7}" name="Num Emp." totalsRowLabel="Total" dataDxfId="55" totalsRowDxfId="54"/>
    <tableColumn id="2" xr3:uid="{550C2CAA-8979-466F-83F8-964078ED2B24}" name="Nombre del Trabajador" dataDxfId="53" totalsRowDxfId="52"/>
    <tableColumn id="3" xr3:uid="{122903B4-199D-4C3E-A05C-6D527F725AAA}" name="Numero de Seguridad Social" dataDxfId="51" totalsRowDxfId="50"/>
    <tableColumn id="4" xr3:uid="{E9122AF7-835B-438E-911D-02A4F3101CFD}" name="Fecha de Ingreso Nomina" dataDxfId="49" totalsRowDxfId="48"/>
    <tableColumn id="5" xr3:uid="{6E3630D5-4B15-48F1-8912-D7E6D0020429}" name="Fecha de Alta IMSS (OTE)" dataDxfId="47" totalsRowDxfId="46"/>
    <tableColumn id="6" xr3:uid="{FE9DC1C4-BE71-405B-954D-24D498BB6543}" name="Fecha de Antigüedad (GL3)" dataDxfId="45" totalsRowDxfId="44"/>
    <tableColumn id="7" xr3:uid="{461E9157-1E30-4210-88A7-010D604A8B48}" name="Departamento" dataDxfId="43" totalsRowDxfId="42"/>
    <tableColumn id="8" xr3:uid="{07204355-6D6D-4292-BD24-4FB4E07E5A4C}" name="Sección" dataDxfId="41" totalsRowDxfId="40"/>
    <tableColumn id="9" xr3:uid="{971F920F-1AD4-4424-A15E-47222640FA87}" name="Puesto" totalsRowFunction="count" dataDxfId="39" totalsRowDxfId="38"/>
    <tableColumn id="10" xr3:uid="{DEB29D2D-1F78-48E9-9AD7-F74D8EF7E732}" name="Salario Diario" totalsRowFunction="count" dataDxfId="37" totalsRowDxfId="36" dataCellStyle="Moned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822E82-9F32-4255-A653-0176C5FC3524}" name="Tabla6" displayName="Tabla6" ref="L1:N199" totalsRowCount="1" tableBorderDxfId="35">
  <autoFilter ref="L1:N198" xr:uid="{6A822E82-9F32-4255-A653-0176C5FC3524}"/>
  <tableColumns count="3">
    <tableColumn id="1" xr3:uid="{53FBA75D-3FC7-4700-B31F-B2C7D87EA3B4}" name="NOMBRE DEL TRABAJADOR" totalsRowLabel="Total" dataDxfId="34" totalsRowDxfId="33" dataCellStyle="Normal 2"/>
    <tableColumn id="2" xr3:uid="{5B4E4288-B384-40E4-A07D-B68CBC84EED7}" name="SECCIÓN" totalsRowFunction="count" dataDxfId="32" totalsRowDxfId="31" dataCellStyle="Normal 2"/>
    <tableColumn id="3" xr3:uid="{2E66CA30-D88E-48AE-B8AF-8E08CDAF717E}" name="INCENTIVO" totalsRowFunction="sum" dataDxfId="30" totalsRowDxfId="29" dataCellStyle="Moned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48010C-7404-4F98-85DD-11BE9C2DA964}" name="Tabla7" displayName="Tabla7" ref="A1:J95" totalsRowCount="1" headerRowDxfId="28" tableBorderDxfId="27">
  <autoFilter ref="A1:J94" xr:uid="{F148010C-7404-4F98-85DD-11BE9C2DA964}"/>
  <tableColumns count="10">
    <tableColumn id="1" xr3:uid="{30F5EFFA-7C57-409A-8750-C0996C836D7C}" name="Num Emp." totalsRowLabel="Total" dataDxfId="26" totalsRowDxfId="25"/>
    <tableColumn id="2" xr3:uid="{C9FF92FF-4AF6-4712-A71B-64F4E6A8B076}" name="Nombre del Trabajador" dataDxfId="24" totalsRowDxfId="23"/>
    <tableColumn id="3" xr3:uid="{2E81C7AB-D909-42E3-8977-41A3B81F68A8}" name="Numero de Seguridad Social" dataDxfId="22" totalsRowDxfId="21"/>
    <tableColumn id="4" xr3:uid="{FFBF78DA-3743-4621-AE4D-D1F79265EDCF}" name="Fecha de Ingreso Nomina" dataDxfId="20" totalsRowDxfId="19"/>
    <tableColumn id="5" xr3:uid="{43903AFA-53AF-4BD6-B4C7-4833B03033E5}" name="Fecha de Alta IMSS (OTE)" dataDxfId="18" totalsRowDxfId="17"/>
    <tableColumn id="6" xr3:uid="{D99601A9-5769-413F-A923-CE4C351C25B8}" name="Fecha de Antigüedad (GL3)" dataDxfId="16" totalsRowDxfId="15"/>
    <tableColumn id="7" xr3:uid="{8B95D13F-E236-4B5D-8D26-8C92CA8C2184}" name="Departamento" dataDxfId="14" totalsRowDxfId="13"/>
    <tableColumn id="8" xr3:uid="{A2577BB4-DF4A-48E2-8858-009D36D373F8}" name="Sección" dataDxfId="12" totalsRowDxfId="11"/>
    <tableColumn id="9" xr3:uid="{58C30BCB-852E-4486-B354-6C7EDB32387E}" name="Puesto" dataDxfId="10" totalsRowDxfId="9"/>
    <tableColumn id="10" xr3:uid="{5DBF3B6D-C3F7-42D9-BBC1-6B5E5028E0DD}" name="Salario Diario" totalsRowFunction="count" dataDxfId="8" totalsRowDxfId="7" dataCellStyle="Moned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1BAF34-B17F-48F4-8556-88EE7BA89446}" name="Tabla8" displayName="Tabla8" ref="L1:N92" totalsRowCount="1" tableBorderDxfId="6">
  <autoFilter ref="L1:N91" xr:uid="{EF1BAF34-B17F-48F4-8556-88EE7BA89446}"/>
  <tableColumns count="3">
    <tableColumn id="1" xr3:uid="{97D906C5-F745-4875-A8FE-E09A40E0A497}" name="NOMBRE DEL TRABAJADOR" totalsRowLabel="Total" dataDxfId="5" totalsRowDxfId="4" dataCellStyle="Normal 2" totalsRowCellStyle="Normal 2"/>
    <tableColumn id="2" xr3:uid="{CACA24EF-0B8A-4461-BB53-FCEE8DB76883}" name="SECCIÓN" totalsRowFunction="count" dataDxfId="3" totalsRowDxfId="2" dataCellStyle="Normal 2"/>
    <tableColumn id="3" xr3:uid="{F4F4CA67-1276-4F7E-A5C4-8F0579A9A006}" name="INCENTIVO" totalsRowFunction="sum" dataDxfId="1" totalsRowDxfId="0" dataCellStyle="Moneda" totalsRowCellStyle="Mon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1" dT="2026-01-14T18:40:47.47" personId="{7EFDAC4A-3A51-4769-B903-C4BD27ED19EC}" id="{7B5DE4AD-171B-458D-8BF0-735B9D8107D3}">
    <text>Costo del 2025 (Simulando todos con bono y con salarios del 2026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B46D-208D-4C99-BA27-8FA2E13C504E}">
  <dimension ref="B1:K80"/>
  <sheetViews>
    <sheetView topLeftCell="A15" zoomScale="121" workbookViewId="0">
      <selection activeCell="H21" sqref="H21"/>
    </sheetView>
  </sheetViews>
  <sheetFormatPr baseColWidth="10" defaultRowHeight="14.5"/>
  <cols>
    <col min="1" max="1" width="3.6328125" customWidth="1"/>
    <col min="2" max="2" width="51.81640625" bestFit="1" customWidth="1"/>
    <col min="3" max="3" width="16.6328125" style="2" bestFit="1" customWidth="1"/>
    <col min="4" max="4" width="16.6328125" style="2" customWidth="1"/>
    <col min="5" max="5" width="20.6328125" style="2" bestFit="1" customWidth="1"/>
    <col min="6" max="6" width="17.54296875" bestFit="1" customWidth="1"/>
    <col min="7" max="7" width="5.1796875" style="1" customWidth="1"/>
    <col min="8" max="8" width="15.7265625" style="1" bestFit="1" customWidth="1"/>
    <col min="9" max="9" width="13.7265625" bestFit="1" customWidth="1"/>
    <col min="10" max="10" width="12.1796875" bestFit="1" customWidth="1"/>
    <col min="11" max="11" width="11.1796875" bestFit="1" customWidth="1"/>
  </cols>
  <sheetData>
    <row r="1" spans="2:8">
      <c r="B1" s="3" t="s">
        <v>0</v>
      </c>
      <c r="C1" s="2" t="s">
        <v>1</v>
      </c>
      <c r="D1" s="2" t="s">
        <v>65</v>
      </c>
      <c r="E1" s="2" t="s">
        <v>66</v>
      </c>
      <c r="F1" t="s">
        <v>2</v>
      </c>
    </row>
    <row r="2" spans="2:8">
      <c r="B2" s="3" t="s">
        <v>3</v>
      </c>
      <c r="C2" s="2">
        <v>411492.24</v>
      </c>
      <c r="D2" s="2">
        <f>C2/12</f>
        <v>34291.019999999997</v>
      </c>
      <c r="E2" s="2" t="s">
        <v>67</v>
      </c>
      <c r="F2" t="s">
        <v>4</v>
      </c>
    </row>
    <row r="3" spans="2:8">
      <c r="B3" s="3" t="s">
        <v>5</v>
      </c>
      <c r="C3" s="2">
        <v>333648.75</v>
      </c>
      <c r="D3" s="2">
        <f t="shared" ref="D3:D56" si="0">C3/12</f>
        <v>27804.0625</v>
      </c>
      <c r="E3" s="2" t="s">
        <v>67</v>
      </c>
      <c r="F3" t="s">
        <v>4</v>
      </c>
    </row>
    <row r="4" spans="2:8">
      <c r="B4" s="3" t="s">
        <v>6</v>
      </c>
      <c r="C4" s="2">
        <v>400000</v>
      </c>
      <c r="D4" s="2">
        <f t="shared" si="0"/>
        <v>33333.333333333336</v>
      </c>
      <c r="E4" s="2" t="s">
        <v>67</v>
      </c>
      <c r="F4" t="s">
        <v>4</v>
      </c>
    </row>
    <row r="5" spans="2:8">
      <c r="B5" s="3" t="s">
        <v>7</v>
      </c>
      <c r="C5" s="2">
        <v>100000</v>
      </c>
      <c r="D5" s="2">
        <f t="shared" si="0"/>
        <v>8333.3333333333339</v>
      </c>
      <c r="E5" s="2" t="s">
        <v>67</v>
      </c>
      <c r="F5" t="s">
        <v>4</v>
      </c>
    </row>
    <row r="6" spans="2:8">
      <c r="B6" s="3" t="s">
        <v>8</v>
      </c>
      <c r="C6" s="2">
        <v>100000</v>
      </c>
      <c r="D6" s="2">
        <f t="shared" si="0"/>
        <v>8333.3333333333339</v>
      </c>
      <c r="E6" s="2" t="s">
        <v>67</v>
      </c>
      <c r="F6" t="s">
        <v>4</v>
      </c>
    </row>
    <row r="7" spans="2:8">
      <c r="B7" s="3" t="s">
        <v>9</v>
      </c>
      <c r="C7" s="2">
        <v>115015.86</v>
      </c>
      <c r="D7" s="2">
        <f t="shared" si="0"/>
        <v>9584.6550000000007</v>
      </c>
      <c r="E7" s="2" t="s">
        <v>67</v>
      </c>
      <c r="F7" t="s">
        <v>4</v>
      </c>
    </row>
    <row r="8" spans="2:8">
      <c r="B8" s="3" t="s">
        <v>10</v>
      </c>
      <c r="C8" s="2">
        <v>180000</v>
      </c>
      <c r="D8" s="2">
        <f t="shared" si="0"/>
        <v>15000</v>
      </c>
      <c r="E8" s="2" t="s">
        <v>67</v>
      </c>
      <c r="F8" t="s">
        <v>4</v>
      </c>
    </row>
    <row r="9" spans="2:8">
      <c r="B9" s="3" t="s">
        <v>11</v>
      </c>
      <c r="C9" s="2">
        <v>96047.99</v>
      </c>
      <c r="D9" s="2">
        <f t="shared" si="0"/>
        <v>8003.9991666666674</v>
      </c>
      <c r="E9" s="2" t="s">
        <v>67</v>
      </c>
      <c r="F9" t="s">
        <v>4</v>
      </c>
    </row>
    <row r="10" spans="2:8">
      <c r="B10" s="3" t="s">
        <v>12</v>
      </c>
      <c r="C10" s="91">
        <f>(14384*2)*12</f>
        <v>345216</v>
      </c>
      <c r="D10" s="2">
        <f t="shared" si="0"/>
        <v>28768</v>
      </c>
      <c r="E10" s="2" t="s">
        <v>67</v>
      </c>
      <c r="F10" t="s">
        <v>4</v>
      </c>
    </row>
    <row r="11" spans="2:8">
      <c r="B11" s="3" t="s">
        <v>13</v>
      </c>
      <c r="C11" s="90">
        <v>3498575.77</v>
      </c>
      <c r="D11" s="2">
        <f t="shared" si="0"/>
        <v>291547.98083333333</v>
      </c>
      <c r="E11" s="2" t="s">
        <v>67</v>
      </c>
      <c r="F11" t="s">
        <v>4</v>
      </c>
    </row>
    <row r="12" spans="2:8">
      <c r="B12" s="3" t="s">
        <v>14</v>
      </c>
      <c r="C12" s="2">
        <v>15096</v>
      </c>
      <c r="D12" s="2">
        <f t="shared" si="0"/>
        <v>1258</v>
      </c>
      <c r="E12" s="2" t="s">
        <v>67</v>
      </c>
      <c r="F12" t="s">
        <v>15</v>
      </c>
    </row>
    <row r="13" spans="2:8">
      <c r="B13" s="3" t="s">
        <v>16</v>
      </c>
      <c r="C13" s="2">
        <f>2254527+220000</f>
        <v>2474527</v>
      </c>
      <c r="D13" s="2">
        <f t="shared" si="0"/>
        <v>206210.58333333334</v>
      </c>
      <c r="E13" s="2" t="s">
        <v>67</v>
      </c>
      <c r="F13" t="s">
        <v>4</v>
      </c>
    </row>
    <row r="14" spans="2:8">
      <c r="B14" s="3" t="s">
        <v>17</v>
      </c>
      <c r="C14" s="2">
        <v>392750</v>
      </c>
      <c r="D14" s="2">
        <f t="shared" si="0"/>
        <v>32729.166666666668</v>
      </c>
      <c r="E14" s="2" t="s">
        <v>67</v>
      </c>
      <c r="F14" t="s">
        <v>4</v>
      </c>
    </row>
    <row r="15" spans="2:8">
      <c r="B15" s="3" t="s">
        <v>18</v>
      </c>
      <c r="C15" s="91">
        <v>264480</v>
      </c>
      <c r="D15" s="2">
        <f t="shared" si="0"/>
        <v>22040</v>
      </c>
      <c r="E15" s="2" t="s">
        <v>67</v>
      </c>
      <c r="F15" t="s">
        <v>19</v>
      </c>
    </row>
    <row r="16" spans="2:8">
      <c r="B16" s="3" t="s">
        <v>20</v>
      </c>
      <c r="C16" s="2">
        <v>7095.8159999999998</v>
      </c>
      <c r="D16" s="2">
        <f t="shared" si="0"/>
        <v>591.31799999999998</v>
      </c>
      <c r="E16" s="2" t="s">
        <v>67</v>
      </c>
      <c r="F16" t="s">
        <v>19</v>
      </c>
      <c r="H16" s="5"/>
    </row>
    <row r="17" spans="2:10">
      <c r="B17" s="3" t="s">
        <v>21</v>
      </c>
      <c r="C17" s="2">
        <v>59850</v>
      </c>
      <c r="D17" s="2">
        <f t="shared" si="0"/>
        <v>4987.5</v>
      </c>
      <c r="E17" s="2" t="s">
        <v>67</v>
      </c>
      <c r="F17" t="s">
        <v>19</v>
      </c>
      <c r="H17" s="5"/>
      <c r="J17" s="4"/>
    </row>
    <row r="18" spans="2:10">
      <c r="B18" s="3" t="s">
        <v>22</v>
      </c>
      <c r="C18" s="2">
        <f>(58000*12)</f>
        <v>696000</v>
      </c>
      <c r="D18" s="2">
        <f t="shared" si="0"/>
        <v>58000</v>
      </c>
      <c r="E18" s="2" t="s">
        <v>67</v>
      </c>
      <c r="F18" t="s">
        <v>19</v>
      </c>
      <c r="H18" s="5"/>
    </row>
    <row r="19" spans="2:10">
      <c r="B19" s="3" t="s">
        <v>23</v>
      </c>
      <c r="C19" s="2">
        <f>50000*12</f>
        <v>600000</v>
      </c>
      <c r="D19" s="2">
        <f t="shared" si="0"/>
        <v>50000</v>
      </c>
      <c r="E19" s="2" t="s">
        <v>67</v>
      </c>
      <c r="F19" t="s">
        <v>19</v>
      </c>
    </row>
    <row r="20" spans="2:10">
      <c r="B20" s="3" t="s">
        <v>24</v>
      </c>
      <c r="C20" s="2">
        <v>818058.6</v>
      </c>
      <c r="D20" s="2">
        <f t="shared" si="0"/>
        <v>68171.55</v>
      </c>
      <c r="E20" s="2" t="s">
        <v>67</v>
      </c>
      <c r="F20" t="s">
        <v>19</v>
      </c>
    </row>
    <row r="21" spans="2:10">
      <c r="B21" s="3" t="s">
        <v>25</v>
      </c>
      <c r="C21" s="2">
        <v>76000000</v>
      </c>
      <c r="D21" s="2">
        <f t="shared" si="0"/>
        <v>6333333.333333333</v>
      </c>
      <c r="E21" s="2" t="s">
        <v>67</v>
      </c>
      <c r="F21" t="s">
        <v>26</v>
      </c>
    </row>
    <row r="22" spans="2:10">
      <c r="B22" s="3" t="s">
        <v>27</v>
      </c>
      <c r="C22" s="92">
        <v>16000000</v>
      </c>
      <c r="D22" s="2">
        <f t="shared" si="0"/>
        <v>1333333.3333333333</v>
      </c>
      <c r="E22" s="2" t="s">
        <v>67</v>
      </c>
      <c r="F22" t="s">
        <v>26</v>
      </c>
    </row>
    <row r="23" spans="2:10">
      <c r="B23" s="3" t="s">
        <v>28</v>
      </c>
      <c r="C23" s="92">
        <f>+C22*0.3</f>
        <v>4800000</v>
      </c>
      <c r="D23" s="2">
        <f t="shared" si="0"/>
        <v>400000</v>
      </c>
      <c r="E23" s="2" t="s">
        <v>67</v>
      </c>
      <c r="F23" t="s">
        <v>26</v>
      </c>
    </row>
    <row r="24" spans="2:10">
      <c r="B24" s="3" t="s">
        <v>1131</v>
      </c>
      <c r="C24" s="92">
        <f>C23*0.06</f>
        <v>288000</v>
      </c>
      <c r="D24" s="2">
        <f>+Tabla1[[#This Row],[Gasto Anual]]/12</f>
        <v>24000</v>
      </c>
      <c r="E24" s="2" t="s">
        <v>67</v>
      </c>
      <c r="F24" t="s">
        <v>26</v>
      </c>
    </row>
    <row r="25" spans="2:10">
      <c r="B25" s="3" t="s">
        <v>29</v>
      </c>
      <c r="C25" s="91">
        <f>417.1*317</f>
        <v>132220.70000000001</v>
      </c>
      <c r="D25" s="2">
        <f t="shared" si="0"/>
        <v>11018.391666666668</v>
      </c>
      <c r="E25" s="2" t="s">
        <v>67</v>
      </c>
      <c r="F25" t="s">
        <v>26</v>
      </c>
      <c r="G25" s="6"/>
    </row>
    <row r="26" spans="2:10">
      <c r="B26" s="3" t="s">
        <v>30</v>
      </c>
      <c r="C26" s="91">
        <f>405.36*420</f>
        <v>170251.2</v>
      </c>
      <c r="D26" s="2">
        <f t="shared" si="0"/>
        <v>14187.6</v>
      </c>
      <c r="E26" s="2" t="s">
        <v>67</v>
      </c>
      <c r="F26" t="s">
        <v>26</v>
      </c>
    </row>
    <row r="27" spans="2:10">
      <c r="B27" s="3" t="s">
        <v>31</v>
      </c>
      <c r="C27" s="91">
        <f>199*195.86201</f>
        <v>38976.539989999997</v>
      </c>
      <c r="D27" s="2">
        <f t="shared" si="0"/>
        <v>3248.0449991666665</v>
      </c>
      <c r="E27" s="2" t="s">
        <v>67</v>
      </c>
      <c r="F27" t="s">
        <v>26</v>
      </c>
    </row>
    <row r="28" spans="2:10">
      <c r="B28" s="3" t="s">
        <v>32</v>
      </c>
      <c r="C28" s="2">
        <v>171935.2</v>
      </c>
      <c r="D28" s="2">
        <f t="shared" si="0"/>
        <v>14327.933333333334</v>
      </c>
      <c r="E28" s="2" t="s">
        <v>67</v>
      </c>
      <c r="F28" t="s">
        <v>26</v>
      </c>
      <c r="G28" s="5"/>
    </row>
    <row r="29" spans="2:10">
      <c r="B29" s="3" t="s">
        <v>33</v>
      </c>
      <c r="C29" s="2">
        <f>426*73</f>
        <v>31098</v>
      </c>
      <c r="D29" s="2">
        <f t="shared" si="0"/>
        <v>2591.5</v>
      </c>
      <c r="E29" s="2" t="s">
        <v>67</v>
      </c>
      <c r="F29" t="s">
        <v>26</v>
      </c>
      <c r="G29" s="5"/>
    </row>
    <row r="30" spans="2:10">
      <c r="B30" s="3" t="s">
        <v>34</v>
      </c>
      <c r="C30" s="2">
        <f>2500*70</f>
        <v>175000</v>
      </c>
      <c r="D30" s="2">
        <f t="shared" si="0"/>
        <v>14583.333333333334</v>
      </c>
      <c r="E30" s="2" t="s">
        <v>67</v>
      </c>
      <c r="F30" t="s">
        <v>26</v>
      </c>
      <c r="G30" s="5"/>
    </row>
    <row r="31" spans="2:10">
      <c r="B31" s="3" t="s">
        <v>35</v>
      </c>
      <c r="C31" s="2">
        <v>150000</v>
      </c>
      <c r="D31" s="2">
        <f t="shared" si="0"/>
        <v>12500</v>
      </c>
      <c r="E31" s="2" t="s">
        <v>67</v>
      </c>
      <c r="F31" t="s">
        <v>26</v>
      </c>
    </row>
    <row r="32" spans="2:10">
      <c r="B32" s="3" t="s">
        <v>36</v>
      </c>
      <c r="C32" s="2">
        <v>132108</v>
      </c>
      <c r="D32" s="2">
        <f t="shared" si="0"/>
        <v>11009</v>
      </c>
      <c r="E32" s="2" t="s">
        <v>67</v>
      </c>
      <c r="F32" t="s">
        <v>19</v>
      </c>
    </row>
    <row r="33" spans="2:9">
      <c r="B33" s="3" t="s">
        <v>37</v>
      </c>
      <c r="C33" s="91">
        <v>10922.54</v>
      </c>
      <c r="D33" s="2">
        <f t="shared" si="0"/>
        <v>910.2116666666667</v>
      </c>
      <c r="E33" s="2" t="s">
        <v>67</v>
      </c>
      <c r="F33" t="s">
        <v>38</v>
      </c>
    </row>
    <row r="34" spans="2:9">
      <c r="B34" s="3" t="s">
        <v>39</v>
      </c>
      <c r="C34" s="91">
        <v>5091.3</v>
      </c>
      <c r="D34" s="2">
        <f t="shared" si="0"/>
        <v>424.27500000000003</v>
      </c>
      <c r="E34" s="2" t="s">
        <v>67</v>
      </c>
      <c r="F34" t="s">
        <v>38</v>
      </c>
    </row>
    <row r="35" spans="2:9">
      <c r="B35" s="3" t="s">
        <v>40</v>
      </c>
      <c r="C35" s="91">
        <v>274.93</v>
      </c>
      <c r="D35" s="2">
        <f t="shared" si="0"/>
        <v>22.910833333333333</v>
      </c>
      <c r="E35" s="2" t="s">
        <v>67</v>
      </c>
      <c r="F35" t="s">
        <v>38</v>
      </c>
    </row>
    <row r="36" spans="2:9">
      <c r="B36" s="3" t="s">
        <v>41</v>
      </c>
      <c r="C36" s="91">
        <v>3394</v>
      </c>
      <c r="D36" s="2">
        <f t="shared" si="0"/>
        <v>282.83333333333331</v>
      </c>
      <c r="E36" s="2" t="s">
        <v>67</v>
      </c>
      <c r="F36" t="s">
        <v>38</v>
      </c>
    </row>
    <row r="37" spans="2:9">
      <c r="B37" s="3" t="s">
        <v>42</v>
      </c>
      <c r="C37" s="91">
        <v>11187.04</v>
      </c>
      <c r="D37" s="2">
        <f t="shared" si="0"/>
        <v>932.25333333333344</v>
      </c>
      <c r="E37" s="2" t="s">
        <v>67</v>
      </c>
      <c r="F37" t="s">
        <v>38</v>
      </c>
    </row>
    <row r="38" spans="2:9">
      <c r="B38" s="3" t="s">
        <v>43</v>
      </c>
      <c r="C38" s="91">
        <v>18780.78</v>
      </c>
      <c r="D38" s="2">
        <f t="shared" si="0"/>
        <v>1565.0649999999998</v>
      </c>
      <c r="E38" s="2" t="s">
        <v>67</v>
      </c>
      <c r="F38" t="s">
        <v>38</v>
      </c>
    </row>
    <row r="39" spans="2:9">
      <c r="B39" s="3" t="s">
        <v>44</v>
      </c>
      <c r="C39" s="91">
        <v>204939.8</v>
      </c>
      <c r="D39" s="2">
        <f t="shared" si="0"/>
        <v>17078.316666666666</v>
      </c>
      <c r="E39" s="2" t="s">
        <v>67</v>
      </c>
      <c r="F39" t="s">
        <v>38</v>
      </c>
      <c r="G39" s="5"/>
    </row>
    <row r="40" spans="2:9">
      <c r="B40" s="3" t="s">
        <v>45</v>
      </c>
      <c r="C40" s="2">
        <v>347712.44199999998</v>
      </c>
      <c r="D40" s="2">
        <f t="shared" si="0"/>
        <v>28976.036833333332</v>
      </c>
      <c r="E40" s="2" t="s">
        <v>67</v>
      </c>
      <c r="F40" t="s">
        <v>19</v>
      </c>
    </row>
    <row r="41" spans="2:9">
      <c r="B41" s="3" t="s">
        <v>46</v>
      </c>
      <c r="C41" s="2">
        <v>41953.603999999999</v>
      </c>
      <c r="D41" s="2">
        <f t="shared" si="0"/>
        <v>3496.1336666666666</v>
      </c>
      <c r="E41" s="2" t="s">
        <v>67</v>
      </c>
      <c r="F41" t="s">
        <v>19</v>
      </c>
    </row>
    <row r="42" spans="2:9">
      <c r="B42" s="3" t="s">
        <v>47</v>
      </c>
      <c r="C42" s="2">
        <v>45000</v>
      </c>
      <c r="D42" s="2">
        <f t="shared" si="0"/>
        <v>3750</v>
      </c>
      <c r="E42" s="2" t="s">
        <v>67</v>
      </c>
      <c r="F42" t="s">
        <v>19</v>
      </c>
    </row>
    <row r="43" spans="2:9">
      <c r="B43" s="3" t="s">
        <v>48</v>
      </c>
      <c r="C43" s="2">
        <v>43766.8</v>
      </c>
      <c r="D43" s="2">
        <f t="shared" si="0"/>
        <v>3647.2333333333336</v>
      </c>
      <c r="E43" s="2" t="s">
        <v>67</v>
      </c>
      <c r="F43" t="s">
        <v>19</v>
      </c>
    </row>
    <row r="44" spans="2:9">
      <c r="B44" s="3" t="s">
        <v>49</v>
      </c>
      <c r="C44" s="93">
        <v>3579647.13</v>
      </c>
      <c r="D44" s="2">
        <f>C45/12</f>
        <v>48723.800833333335</v>
      </c>
      <c r="E44" s="2" t="s">
        <v>67</v>
      </c>
      <c r="F44" t="s">
        <v>26</v>
      </c>
      <c r="G44" s="5"/>
    </row>
    <row r="45" spans="2:9">
      <c r="B45" s="3" t="s">
        <v>50</v>
      </c>
      <c r="C45" s="2">
        <v>584685.61</v>
      </c>
      <c r="D45" s="2">
        <f>C44/12</f>
        <v>298303.92749999999</v>
      </c>
      <c r="E45" s="2" t="s">
        <v>67</v>
      </c>
      <c r="F45" t="s">
        <v>26</v>
      </c>
    </row>
    <row r="46" spans="2:9">
      <c r="B46" s="3" t="s">
        <v>51</v>
      </c>
      <c r="C46" s="2">
        <f>(100*517.24)</f>
        <v>51724</v>
      </c>
      <c r="D46" s="2">
        <f t="shared" si="0"/>
        <v>4310.333333333333</v>
      </c>
      <c r="E46" t="s">
        <v>53</v>
      </c>
      <c r="F46" t="s">
        <v>52</v>
      </c>
    </row>
    <row r="47" spans="2:9">
      <c r="B47" s="3" t="s">
        <v>54</v>
      </c>
      <c r="C47" s="2">
        <f>(65*689.65)</f>
        <v>44827.25</v>
      </c>
      <c r="D47" s="2">
        <f t="shared" si="0"/>
        <v>3735.6041666666665</v>
      </c>
      <c r="E47" t="s">
        <v>53</v>
      </c>
      <c r="F47" t="s">
        <v>52</v>
      </c>
    </row>
    <row r="48" spans="2:9">
      <c r="B48" s="3" t="s">
        <v>55</v>
      </c>
      <c r="C48" s="2">
        <f>(15*853.44)</f>
        <v>12801.6</v>
      </c>
      <c r="D48" s="2">
        <f t="shared" si="0"/>
        <v>1066.8</v>
      </c>
      <c r="E48" t="s">
        <v>53</v>
      </c>
      <c r="F48" t="s">
        <v>52</v>
      </c>
      <c r="I48" s="1"/>
    </row>
    <row r="49" spans="2:11">
      <c r="B49" s="3" t="s">
        <v>56</v>
      </c>
      <c r="C49" s="2">
        <v>390634.67</v>
      </c>
      <c r="D49" s="2">
        <f t="shared" si="0"/>
        <v>32552.889166666664</v>
      </c>
      <c r="E49" s="2" t="s">
        <v>67</v>
      </c>
      <c r="F49" t="s">
        <v>4</v>
      </c>
      <c r="I49" s="7"/>
      <c r="J49" s="7"/>
      <c r="K49" s="8"/>
    </row>
    <row r="50" spans="2:11">
      <c r="B50" s="3" t="s">
        <v>57</v>
      </c>
      <c r="C50" s="2">
        <f>(13701.73*12)</f>
        <v>164420.76</v>
      </c>
      <c r="D50" s="2">
        <f t="shared" si="0"/>
        <v>13701.730000000001</v>
      </c>
      <c r="E50" s="2" t="s">
        <v>67</v>
      </c>
      <c r="F50" t="s">
        <v>26</v>
      </c>
    </row>
    <row r="51" spans="2:11">
      <c r="B51" s="3" t="s">
        <v>58</v>
      </c>
      <c r="C51" s="2">
        <f>(4494.82737*12)</f>
        <v>53937.928440000003</v>
      </c>
      <c r="D51" s="2">
        <f t="shared" si="0"/>
        <v>4494.82737</v>
      </c>
      <c r="E51" s="2" t="s">
        <v>67</v>
      </c>
      <c r="F51" t="s">
        <v>26</v>
      </c>
    </row>
    <row r="52" spans="2:11">
      <c r="B52" s="3" t="s">
        <v>59</v>
      </c>
      <c r="C52" s="2">
        <f>(3687.79*12)</f>
        <v>44253.479999999996</v>
      </c>
      <c r="D52" s="2">
        <f t="shared" si="0"/>
        <v>3687.7899999999995</v>
      </c>
      <c r="E52" s="2" t="s">
        <v>67</v>
      </c>
      <c r="F52" t="s">
        <v>26</v>
      </c>
    </row>
    <row r="53" spans="2:11">
      <c r="B53" s="3" t="s">
        <v>60</v>
      </c>
      <c r="C53" s="2">
        <v>6588</v>
      </c>
      <c r="D53" s="2">
        <f t="shared" si="0"/>
        <v>549</v>
      </c>
      <c r="E53" s="2" t="s">
        <v>67</v>
      </c>
      <c r="F53" t="s">
        <v>26</v>
      </c>
    </row>
    <row r="54" spans="2:11">
      <c r="B54" s="3" t="s">
        <v>61</v>
      </c>
      <c r="C54" s="2">
        <v>6588</v>
      </c>
      <c r="D54" s="2">
        <f t="shared" si="0"/>
        <v>549</v>
      </c>
      <c r="E54" s="2" t="s">
        <v>67</v>
      </c>
      <c r="F54" t="s">
        <v>26</v>
      </c>
    </row>
    <row r="55" spans="2:11">
      <c r="B55" s="3" t="s">
        <v>62</v>
      </c>
      <c r="C55" s="2">
        <v>360000</v>
      </c>
      <c r="D55" s="2">
        <f t="shared" si="0"/>
        <v>30000</v>
      </c>
      <c r="E55" t="s">
        <v>53</v>
      </c>
      <c r="F55" t="s">
        <v>52</v>
      </c>
    </row>
    <row r="56" spans="2:11">
      <c r="B56" s="3" t="s">
        <v>63</v>
      </c>
      <c r="C56" s="2">
        <v>350000</v>
      </c>
      <c r="D56" s="2">
        <f t="shared" si="0"/>
        <v>29166.666666666668</v>
      </c>
      <c r="E56" t="s">
        <v>53</v>
      </c>
      <c r="F56" t="s">
        <v>52</v>
      </c>
    </row>
    <row r="57" spans="2:11">
      <c r="B57" s="3" t="s">
        <v>64</v>
      </c>
      <c r="C57" s="2">
        <v>194603.12</v>
      </c>
      <c r="D57" s="2">
        <f>+C57/12</f>
        <v>16216.926666666666</v>
      </c>
      <c r="E57" s="2" t="s">
        <v>67</v>
      </c>
      <c r="F57" t="s">
        <v>19</v>
      </c>
    </row>
    <row r="58" spans="2:11">
      <c r="B58" s="3" t="s">
        <v>243</v>
      </c>
      <c r="C58" s="4">
        <f>SUBTOTAL(109,Tabla1[Gasto Anual])</f>
        <v>115575178.45043002</v>
      </c>
      <c r="D58" s="4">
        <f>SUBTOTAL(109,Tabla1[Gasto Mensual])</f>
        <v>9631264.8708691634</v>
      </c>
      <c r="E58"/>
      <c r="F58">
        <f>SUBTOTAL(103,Tabla1[Área])</f>
        <v>56</v>
      </c>
    </row>
    <row r="59" spans="2:11">
      <c r="B59" s="3"/>
      <c r="E59"/>
    </row>
    <row r="60" spans="2:11" s="1" customFormat="1">
      <c r="B60" s="3"/>
      <c r="C60" s="87">
        <v>29989817.811003007</v>
      </c>
      <c r="D60" s="2"/>
      <c r="E60"/>
      <c r="F60"/>
    </row>
    <row r="62" spans="2:11">
      <c r="C62" s="2">
        <f>+C60+Tabla1[[#Totals],[Gasto Anual]]</f>
        <v>145564996.26143304</v>
      </c>
      <c r="D62" s="2">
        <f>C62/190590</f>
        <v>763.75988384192783</v>
      </c>
    </row>
    <row r="63" spans="2:11">
      <c r="C63" s="88">
        <v>0.1</v>
      </c>
      <c r="D63" s="2">
        <f>D62/0.9</f>
        <v>848.62209315769758</v>
      </c>
    </row>
    <row r="64" spans="2:11">
      <c r="C64" s="88">
        <v>0.09</v>
      </c>
      <c r="D64" s="2">
        <f>$D$62/(1-C64)</f>
        <v>839.29657565047012</v>
      </c>
    </row>
    <row r="65" spans="3:4">
      <c r="C65" s="88">
        <v>0.08</v>
      </c>
      <c r="D65" s="2">
        <f t="shared" ref="D65:D70" si="1">$D$62/(1-C65)</f>
        <v>830.17378678470413</v>
      </c>
    </row>
    <row r="66" spans="3:4">
      <c r="C66" s="88">
        <v>7.0000000000000007E-2</v>
      </c>
      <c r="D66" s="2">
        <f t="shared" si="1"/>
        <v>821.24718692680415</v>
      </c>
    </row>
    <row r="67" spans="3:4">
      <c r="C67" s="88">
        <v>0.06</v>
      </c>
      <c r="D67" s="2">
        <f t="shared" si="1"/>
        <v>812.51051472545521</v>
      </c>
    </row>
    <row r="68" spans="3:4">
      <c r="C68" s="88">
        <v>0.05</v>
      </c>
      <c r="D68" s="2">
        <f t="shared" si="1"/>
        <v>803.95777246518719</v>
      </c>
    </row>
    <row r="69" spans="3:4">
      <c r="C69" s="88">
        <v>0.04</v>
      </c>
      <c r="D69" s="2">
        <f t="shared" si="1"/>
        <v>795.5832123353415</v>
      </c>
    </row>
    <row r="70" spans="3:4">
      <c r="C70" s="88">
        <v>0.03</v>
      </c>
      <c r="D70" s="2">
        <f t="shared" si="1"/>
        <v>787.38132354837921</v>
      </c>
    </row>
    <row r="73" spans="3:4">
      <c r="C73" s="95">
        <f>190490/248</f>
        <v>768.10483870967744</v>
      </c>
    </row>
    <row r="74" spans="3:4">
      <c r="C74" s="95">
        <v>855</v>
      </c>
      <c r="D74" s="94">
        <f>C74*248</f>
        <v>212040</v>
      </c>
    </row>
    <row r="79" spans="3:4">
      <c r="C79" s="2">
        <f>+C62/190490</f>
        <v>764.1608287124418</v>
      </c>
      <c r="D79" s="2">
        <f>C62/D74</f>
        <v>686.49781296657727</v>
      </c>
    </row>
    <row r="80" spans="3:4">
      <c r="C80" s="2">
        <f>+C79/0.92</f>
        <v>830.60959642656712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4B88-172B-440F-8279-D2D789A35A77}">
  <dimension ref="A1:N74"/>
  <sheetViews>
    <sheetView tabSelected="1" topLeftCell="F48" zoomScale="119" workbookViewId="0">
      <selection activeCell="I68" sqref="I68"/>
    </sheetView>
  </sheetViews>
  <sheetFormatPr baseColWidth="10" defaultRowHeight="14.5"/>
  <cols>
    <col min="1" max="1" width="11.6328125" customWidth="1"/>
    <col min="2" max="2" width="35.08984375" bestFit="1" customWidth="1"/>
    <col min="3" max="3" width="27.453125" customWidth="1"/>
    <col min="4" max="4" width="24.7265625" customWidth="1"/>
    <col min="5" max="5" width="25.08984375" customWidth="1"/>
    <col min="6" max="6" width="26.36328125" customWidth="1"/>
    <col min="7" max="7" width="16.453125" bestFit="1" customWidth="1"/>
    <col min="8" max="8" width="12.08984375" bestFit="1" customWidth="1"/>
    <col min="9" max="9" width="16.453125" bestFit="1" customWidth="1"/>
    <col min="10" max="10" width="15.7265625" customWidth="1"/>
    <col min="12" max="12" width="43.54296875" bestFit="1" customWidth="1"/>
    <col min="13" max="13" width="12.7265625" bestFit="1" customWidth="1"/>
    <col min="14" max="14" width="14.26953125" bestFit="1" customWidth="1"/>
  </cols>
  <sheetData>
    <row r="1" spans="1:14">
      <c r="A1" s="33" t="s">
        <v>68</v>
      </c>
      <c r="B1" s="33" t="s">
        <v>69</v>
      </c>
      <c r="C1" s="33" t="s">
        <v>70</v>
      </c>
      <c r="D1" s="33" t="s">
        <v>71</v>
      </c>
      <c r="E1" s="33" t="s">
        <v>72</v>
      </c>
      <c r="F1" s="33" t="s">
        <v>73</v>
      </c>
      <c r="G1" s="34" t="s">
        <v>74</v>
      </c>
      <c r="H1" s="34" t="s">
        <v>75</v>
      </c>
      <c r="I1" s="34" t="s">
        <v>76</v>
      </c>
      <c r="J1" s="35" t="s">
        <v>77</v>
      </c>
      <c r="L1" s="31" t="s">
        <v>244</v>
      </c>
      <c r="M1" s="31" t="s">
        <v>245</v>
      </c>
      <c r="N1" s="36" t="s">
        <v>246</v>
      </c>
    </row>
    <row r="2" spans="1:14">
      <c r="A2" s="37" t="s">
        <v>78</v>
      </c>
      <c r="B2" s="38" t="s">
        <v>79</v>
      </c>
      <c r="C2" s="39" t="s">
        <v>80</v>
      </c>
      <c r="D2" s="40">
        <v>44420</v>
      </c>
      <c r="E2" s="40">
        <v>44420</v>
      </c>
      <c r="F2" s="40"/>
      <c r="G2" s="41" t="s">
        <v>81</v>
      </c>
      <c r="H2" s="42" t="s">
        <v>82</v>
      </c>
      <c r="I2" s="42" t="s">
        <v>83</v>
      </c>
      <c r="J2" s="43">
        <v>280</v>
      </c>
      <c r="L2" s="44" t="s">
        <v>79</v>
      </c>
      <c r="M2" s="44" t="s">
        <v>82</v>
      </c>
      <c r="N2" s="45">
        <v>481</v>
      </c>
    </row>
    <row r="3" spans="1:14">
      <c r="A3" s="37" t="s">
        <v>84</v>
      </c>
      <c r="B3" s="38" t="s">
        <v>85</v>
      </c>
      <c r="C3" s="39" t="s">
        <v>86</v>
      </c>
      <c r="D3" s="46">
        <v>44375</v>
      </c>
      <c r="E3" s="40">
        <v>44389</v>
      </c>
      <c r="F3" s="40"/>
      <c r="G3" s="41" t="s">
        <v>81</v>
      </c>
      <c r="H3" s="42" t="s">
        <v>82</v>
      </c>
      <c r="I3" s="42" t="s">
        <v>83</v>
      </c>
      <c r="J3" s="43">
        <v>280</v>
      </c>
      <c r="L3" s="44" t="s">
        <v>85</v>
      </c>
      <c r="M3" s="44" t="s">
        <v>82</v>
      </c>
      <c r="N3" s="45">
        <v>226</v>
      </c>
    </row>
    <row r="4" spans="1:14">
      <c r="A4" s="37" t="s">
        <v>87</v>
      </c>
      <c r="B4" s="38" t="s">
        <v>88</v>
      </c>
      <c r="C4" s="39" t="s">
        <v>89</v>
      </c>
      <c r="D4" s="40">
        <v>45365</v>
      </c>
      <c r="E4" s="40">
        <v>45365</v>
      </c>
      <c r="F4" s="40"/>
      <c r="G4" s="41" t="s">
        <v>81</v>
      </c>
      <c r="H4" s="42" t="s">
        <v>82</v>
      </c>
      <c r="I4" s="42" t="s">
        <v>83</v>
      </c>
      <c r="J4" s="43">
        <v>280</v>
      </c>
      <c r="L4" s="44" t="s">
        <v>88</v>
      </c>
      <c r="M4" s="44" t="s">
        <v>82</v>
      </c>
      <c r="N4" s="45">
        <v>311</v>
      </c>
    </row>
    <row r="5" spans="1:14">
      <c r="A5" s="37" t="s">
        <v>90</v>
      </c>
      <c r="B5" s="38" t="s">
        <v>91</v>
      </c>
      <c r="C5" s="39" t="s">
        <v>92</v>
      </c>
      <c r="D5" s="40">
        <v>44462</v>
      </c>
      <c r="E5" s="40">
        <v>44462</v>
      </c>
      <c r="F5" s="40"/>
      <c r="G5" s="41" t="s">
        <v>93</v>
      </c>
      <c r="H5" s="42" t="s">
        <v>94</v>
      </c>
      <c r="I5" s="42" t="s">
        <v>83</v>
      </c>
      <c r="J5" s="43">
        <v>280</v>
      </c>
      <c r="L5" s="44" t="s">
        <v>91</v>
      </c>
      <c r="M5" s="44" t="s">
        <v>94</v>
      </c>
      <c r="N5" s="45">
        <v>226</v>
      </c>
    </row>
    <row r="6" spans="1:14">
      <c r="A6" s="37" t="s">
        <v>95</v>
      </c>
      <c r="B6" s="38" t="s">
        <v>96</v>
      </c>
      <c r="C6" s="39">
        <v>69169829988</v>
      </c>
      <c r="D6" s="46">
        <v>44868</v>
      </c>
      <c r="E6" s="40">
        <v>44867</v>
      </c>
      <c r="F6" s="40"/>
      <c r="G6" s="41" t="s">
        <v>81</v>
      </c>
      <c r="H6" s="42" t="s">
        <v>82</v>
      </c>
      <c r="I6" s="42" t="s">
        <v>83</v>
      </c>
      <c r="J6" s="43">
        <v>280</v>
      </c>
      <c r="L6" s="44" t="s">
        <v>96</v>
      </c>
      <c r="M6" s="44" t="s">
        <v>82</v>
      </c>
      <c r="N6" s="45">
        <v>424</v>
      </c>
    </row>
    <row r="7" spans="1:14">
      <c r="A7" s="37" t="s">
        <v>97</v>
      </c>
      <c r="B7" s="38" t="s">
        <v>98</v>
      </c>
      <c r="C7" s="39">
        <v>2238811331</v>
      </c>
      <c r="D7" s="40">
        <v>44952</v>
      </c>
      <c r="E7" s="40">
        <v>44952</v>
      </c>
      <c r="F7" s="40"/>
      <c r="G7" s="41" t="s">
        <v>81</v>
      </c>
      <c r="H7" s="42" t="s">
        <v>82</v>
      </c>
      <c r="I7" s="42" t="s">
        <v>83</v>
      </c>
      <c r="J7" s="43">
        <v>280</v>
      </c>
      <c r="L7" s="44" t="s">
        <v>98</v>
      </c>
      <c r="M7" s="44" t="s">
        <v>82</v>
      </c>
      <c r="N7" s="45">
        <v>226</v>
      </c>
    </row>
    <row r="8" spans="1:14" hidden="1">
      <c r="A8" s="37">
        <v>2535</v>
      </c>
      <c r="B8" s="38" t="s">
        <v>99</v>
      </c>
      <c r="C8" s="39" t="s">
        <v>100</v>
      </c>
      <c r="D8" s="40">
        <v>45694</v>
      </c>
      <c r="E8" s="40">
        <v>45694</v>
      </c>
      <c r="F8" s="40"/>
      <c r="G8" s="41" t="s">
        <v>81</v>
      </c>
      <c r="H8" s="42" t="s">
        <v>82</v>
      </c>
      <c r="I8" s="42" t="s">
        <v>83</v>
      </c>
      <c r="J8" s="43">
        <v>280</v>
      </c>
      <c r="L8" s="44" t="s">
        <v>248</v>
      </c>
      <c r="M8" s="44" t="s">
        <v>82</v>
      </c>
      <c r="N8" s="45">
        <v>0</v>
      </c>
    </row>
    <row r="9" spans="1:14">
      <c r="A9" s="37" t="s">
        <v>101</v>
      </c>
      <c r="B9" s="38" t="s">
        <v>102</v>
      </c>
      <c r="C9" s="39" t="s">
        <v>103</v>
      </c>
      <c r="D9" s="40">
        <v>45260</v>
      </c>
      <c r="E9" s="40">
        <v>45260</v>
      </c>
      <c r="F9" s="40"/>
      <c r="G9" s="41" t="s">
        <v>81</v>
      </c>
      <c r="H9" s="42" t="s">
        <v>82</v>
      </c>
      <c r="I9" s="42" t="s">
        <v>83</v>
      </c>
      <c r="J9" s="43">
        <v>280</v>
      </c>
      <c r="L9" s="44" t="s">
        <v>247</v>
      </c>
      <c r="M9" s="44" t="s">
        <v>82</v>
      </c>
      <c r="N9" s="45">
        <v>226</v>
      </c>
    </row>
    <row r="10" spans="1:14">
      <c r="A10" s="37" t="s">
        <v>104</v>
      </c>
      <c r="B10" s="38" t="s">
        <v>105</v>
      </c>
      <c r="C10" s="39">
        <v>3230448130</v>
      </c>
      <c r="D10" s="40">
        <v>44952</v>
      </c>
      <c r="E10" s="40">
        <v>44952</v>
      </c>
      <c r="F10" s="40"/>
      <c r="G10" s="41" t="s">
        <v>81</v>
      </c>
      <c r="H10" s="42" t="s">
        <v>82</v>
      </c>
      <c r="I10" s="42" t="s">
        <v>83</v>
      </c>
      <c r="J10" s="43">
        <v>280</v>
      </c>
      <c r="L10" s="44" t="s">
        <v>99</v>
      </c>
      <c r="M10" s="44" t="s">
        <v>82</v>
      </c>
      <c r="N10" s="45">
        <v>226</v>
      </c>
    </row>
    <row r="11" spans="1:14" hidden="1">
      <c r="A11" s="37">
        <v>2495</v>
      </c>
      <c r="B11" s="38" t="s">
        <v>106</v>
      </c>
      <c r="C11" s="39" t="s">
        <v>107</v>
      </c>
      <c r="D11" s="40">
        <v>45610</v>
      </c>
      <c r="E11" s="40">
        <v>45610</v>
      </c>
      <c r="F11" s="40"/>
      <c r="G11" s="41" t="s">
        <v>81</v>
      </c>
      <c r="H11" s="42" t="s">
        <v>82</v>
      </c>
      <c r="I11" s="42" t="s">
        <v>83</v>
      </c>
      <c r="J11" s="43">
        <v>280</v>
      </c>
      <c r="L11" s="44" t="s">
        <v>105</v>
      </c>
      <c r="M11" s="44" t="s">
        <v>82</v>
      </c>
      <c r="N11" s="45">
        <v>0</v>
      </c>
    </row>
    <row r="12" spans="1:14">
      <c r="A12" s="37" t="s">
        <v>108</v>
      </c>
      <c r="B12" s="38" t="s">
        <v>109</v>
      </c>
      <c r="C12" s="39" t="s">
        <v>110</v>
      </c>
      <c r="D12" s="40">
        <v>44301</v>
      </c>
      <c r="E12" s="40">
        <v>44389</v>
      </c>
      <c r="F12" s="40">
        <v>44301</v>
      </c>
      <c r="G12" s="41" t="s">
        <v>81</v>
      </c>
      <c r="H12" s="42" t="s">
        <v>82</v>
      </c>
      <c r="I12" s="42" t="s">
        <v>83</v>
      </c>
      <c r="J12" s="43">
        <v>280</v>
      </c>
      <c r="L12" s="44" t="s">
        <v>106</v>
      </c>
      <c r="M12" s="44" t="s">
        <v>82</v>
      </c>
      <c r="N12" s="45">
        <v>113</v>
      </c>
    </row>
    <row r="13" spans="1:14">
      <c r="A13" s="37" t="s">
        <v>111</v>
      </c>
      <c r="B13" s="38" t="s">
        <v>112</v>
      </c>
      <c r="C13" s="39" t="s">
        <v>113</v>
      </c>
      <c r="D13" s="40">
        <v>45743</v>
      </c>
      <c r="E13" s="40">
        <v>45743</v>
      </c>
      <c r="F13" s="40"/>
      <c r="G13" s="41" t="s">
        <v>93</v>
      </c>
      <c r="H13" s="42" t="s">
        <v>94</v>
      </c>
      <c r="I13" s="42" t="s">
        <v>83</v>
      </c>
      <c r="J13" s="43">
        <v>280</v>
      </c>
      <c r="L13" s="44" t="s">
        <v>109</v>
      </c>
      <c r="M13" s="44" t="s">
        <v>82</v>
      </c>
      <c r="N13" s="45">
        <v>453</v>
      </c>
    </row>
    <row r="14" spans="1:14">
      <c r="A14" s="37" t="s">
        <v>114</v>
      </c>
      <c r="B14" s="38" t="s">
        <v>115</v>
      </c>
      <c r="C14" s="39" t="s">
        <v>116</v>
      </c>
      <c r="D14" s="40">
        <v>44389</v>
      </c>
      <c r="E14" s="40">
        <v>44389</v>
      </c>
      <c r="F14" s="40"/>
      <c r="G14" s="41" t="s">
        <v>93</v>
      </c>
      <c r="H14" s="42" t="s">
        <v>94</v>
      </c>
      <c r="I14" s="42" t="s">
        <v>83</v>
      </c>
      <c r="J14" s="43">
        <v>280</v>
      </c>
      <c r="L14" s="44" t="s">
        <v>253</v>
      </c>
      <c r="M14" s="44" t="s">
        <v>94</v>
      </c>
      <c r="N14" s="45">
        <v>226</v>
      </c>
    </row>
    <row r="15" spans="1:14">
      <c r="A15" s="37" t="s">
        <v>117</v>
      </c>
      <c r="B15" s="38" t="s">
        <v>118</v>
      </c>
      <c r="C15" s="39" t="s">
        <v>119</v>
      </c>
      <c r="D15" s="40">
        <v>40224</v>
      </c>
      <c r="E15" s="40">
        <v>44389</v>
      </c>
      <c r="F15" s="40">
        <v>40224</v>
      </c>
      <c r="G15" s="41" t="s">
        <v>81</v>
      </c>
      <c r="H15" s="42" t="s">
        <v>82</v>
      </c>
      <c r="I15" s="42" t="s">
        <v>83</v>
      </c>
      <c r="J15" s="43">
        <v>280</v>
      </c>
      <c r="L15" s="44" t="s">
        <v>115</v>
      </c>
      <c r="M15" s="44" t="s">
        <v>94</v>
      </c>
      <c r="N15" s="45">
        <v>226</v>
      </c>
    </row>
    <row r="16" spans="1:14">
      <c r="A16" s="37" t="s">
        <v>120</v>
      </c>
      <c r="B16" s="38" t="s">
        <v>121</v>
      </c>
      <c r="C16" s="39" t="s">
        <v>122</v>
      </c>
      <c r="D16" s="40">
        <v>44840</v>
      </c>
      <c r="E16" s="40">
        <v>44840</v>
      </c>
      <c r="F16" s="40"/>
      <c r="G16" s="41" t="s">
        <v>81</v>
      </c>
      <c r="H16" s="42" t="s">
        <v>82</v>
      </c>
      <c r="I16" s="42" t="s">
        <v>83</v>
      </c>
      <c r="J16" s="43">
        <v>280</v>
      </c>
      <c r="L16" s="44" t="s">
        <v>118</v>
      </c>
      <c r="M16" s="44" t="s">
        <v>82</v>
      </c>
      <c r="N16" s="45">
        <v>509</v>
      </c>
    </row>
    <row r="17" spans="1:14" hidden="1">
      <c r="A17" s="37" t="s">
        <v>123</v>
      </c>
      <c r="B17" s="38" t="s">
        <v>124</v>
      </c>
      <c r="C17" s="39">
        <v>72048317670</v>
      </c>
      <c r="D17" s="40">
        <v>45204</v>
      </c>
      <c r="E17" s="40">
        <v>45204</v>
      </c>
      <c r="F17" s="40"/>
      <c r="G17" s="41" t="s">
        <v>93</v>
      </c>
      <c r="H17" s="42" t="s">
        <v>94</v>
      </c>
      <c r="I17" s="42" t="s">
        <v>83</v>
      </c>
      <c r="J17" s="43">
        <v>280</v>
      </c>
      <c r="L17" s="44" t="s">
        <v>121</v>
      </c>
      <c r="M17" s="44" t="s">
        <v>82</v>
      </c>
      <c r="N17" s="45">
        <v>0</v>
      </c>
    </row>
    <row r="18" spans="1:14">
      <c r="A18" s="37" t="s">
        <v>125</v>
      </c>
      <c r="B18" s="38" t="s">
        <v>126</v>
      </c>
      <c r="C18" s="39" t="s">
        <v>127</v>
      </c>
      <c r="D18" s="40">
        <v>44158</v>
      </c>
      <c r="E18" s="40">
        <v>44389</v>
      </c>
      <c r="F18" s="40">
        <v>44158</v>
      </c>
      <c r="G18" s="41" t="s">
        <v>81</v>
      </c>
      <c r="H18" s="42" t="s">
        <v>82</v>
      </c>
      <c r="I18" s="42" t="s">
        <v>83</v>
      </c>
      <c r="J18" s="43">
        <v>280</v>
      </c>
      <c r="L18" s="44" t="s">
        <v>124</v>
      </c>
      <c r="M18" s="44" t="s">
        <v>94</v>
      </c>
      <c r="N18" s="45">
        <v>226</v>
      </c>
    </row>
    <row r="19" spans="1:14">
      <c r="A19" s="37">
        <v>2666</v>
      </c>
      <c r="B19" s="38" t="s">
        <v>128</v>
      </c>
      <c r="C19" s="39" t="s">
        <v>129</v>
      </c>
      <c r="D19" s="40">
        <v>45953</v>
      </c>
      <c r="E19" s="40">
        <v>45953</v>
      </c>
      <c r="F19" s="40"/>
      <c r="G19" s="41" t="s">
        <v>81</v>
      </c>
      <c r="H19" s="42" t="s">
        <v>82</v>
      </c>
      <c r="I19" s="42" t="s">
        <v>83</v>
      </c>
      <c r="J19" s="43">
        <v>280</v>
      </c>
      <c r="L19" s="44" t="s">
        <v>126</v>
      </c>
      <c r="M19" s="44" t="s">
        <v>82</v>
      </c>
      <c r="N19" s="45">
        <v>481</v>
      </c>
    </row>
    <row r="20" spans="1:14">
      <c r="A20" s="37">
        <v>2620</v>
      </c>
      <c r="B20" s="38" t="s">
        <v>130</v>
      </c>
      <c r="C20" s="39" t="s">
        <v>131</v>
      </c>
      <c r="D20" s="40">
        <v>45855</v>
      </c>
      <c r="E20" s="40">
        <v>45855</v>
      </c>
      <c r="F20" s="40"/>
      <c r="G20" s="41" t="s">
        <v>81</v>
      </c>
      <c r="H20" s="42" t="s">
        <v>82</v>
      </c>
      <c r="I20" s="42" t="s">
        <v>83</v>
      </c>
      <c r="J20" s="43">
        <v>280</v>
      </c>
      <c r="L20" s="44" t="s">
        <v>128</v>
      </c>
      <c r="M20" s="44" t="s">
        <v>82</v>
      </c>
      <c r="N20" s="45">
        <v>481</v>
      </c>
    </row>
    <row r="21" spans="1:14">
      <c r="A21" s="37">
        <v>2621</v>
      </c>
      <c r="B21" s="38" t="s">
        <v>132</v>
      </c>
      <c r="C21" s="39" t="s">
        <v>133</v>
      </c>
      <c r="D21" s="40">
        <v>45855</v>
      </c>
      <c r="E21" s="40">
        <v>45855</v>
      </c>
      <c r="F21" s="40"/>
      <c r="G21" s="41" t="s">
        <v>93</v>
      </c>
      <c r="H21" s="42" t="s">
        <v>94</v>
      </c>
      <c r="I21" s="42" t="s">
        <v>83</v>
      </c>
      <c r="J21" s="43">
        <v>280</v>
      </c>
      <c r="L21" s="44" t="s">
        <v>130</v>
      </c>
      <c r="M21" s="44" t="s">
        <v>82</v>
      </c>
      <c r="N21" s="45">
        <v>113</v>
      </c>
    </row>
    <row r="22" spans="1:14">
      <c r="A22" s="37" t="s">
        <v>134</v>
      </c>
      <c r="B22" s="38" t="s">
        <v>135</v>
      </c>
      <c r="C22" s="39" t="s">
        <v>136</v>
      </c>
      <c r="D22" s="40">
        <v>44637</v>
      </c>
      <c r="E22" s="40">
        <v>44637</v>
      </c>
      <c r="F22" s="40"/>
      <c r="G22" s="41" t="s">
        <v>81</v>
      </c>
      <c r="H22" s="42" t="s">
        <v>82</v>
      </c>
      <c r="I22" s="42" t="s">
        <v>83</v>
      </c>
      <c r="J22" s="43">
        <v>280</v>
      </c>
      <c r="L22" s="44" t="s">
        <v>132</v>
      </c>
      <c r="M22" s="44" t="s">
        <v>94</v>
      </c>
      <c r="N22" s="45">
        <v>113</v>
      </c>
    </row>
    <row r="23" spans="1:14">
      <c r="A23" s="37" t="s">
        <v>137</v>
      </c>
      <c r="B23" s="38" t="s">
        <v>138</v>
      </c>
      <c r="C23" s="39" t="s">
        <v>139</v>
      </c>
      <c r="D23" s="40">
        <v>45078</v>
      </c>
      <c r="E23" s="40">
        <v>45078</v>
      </c>
      <c r="F23" s="40"/>
      <c r="G23" s="41" t="s">
        <v>93</v>
      </c>
      <c r="H23" s="42" t="s">
        <v>94</v>
      </c>
      <c r="I23" s="42" t="s">
        <v>83</v>
      </c>
      <c r="J23" s="43">
        <v>280</v>
      </c>
      <c r="L23" s="44" t="s">
        <v>135</v>
      </c>
      <c r="M23" s="44" t="s">
        <v>82</v>
      </c>
      <c r="N23" s="45">
        <v>424</v>
      </c>
    </row>
    <row r="24" spans="1:14">
      <c r="A24" s="37" t="s">
        <v>140</v>
      </c>
      <c r="B24" s="38" t="s">
        <v>141</v>
      </c>
      <c r="C24" s="39" t="s">
        <v>142</v>
      </c>
      <c r="D24" s="40">
        <v>44987</v>
      </c>
      <c r="E24" s="40">
        <v>44987</v>
      </c>
      <c r="F24" s="40"/>
      <c r="G24" s="41" t="s">
        <v>93</v>
      </c>
      <c r="H24" s="42" t="s">
        <v>94</v>
      </c>
      <c r="I24" s="42" t="s">
        <v>83</v>
      </c>
      <c r="J24" s="43">
        <v>280</v>
      </c>
      <c r="L24" s="44" t="s">
        <v>138</v>
      </c>
      <c r="M24" s="44" t="s">
        <v>94</v>
      </c>
      <c r="N24" s="45">
        <v>397</v>
      </c>
    </row>
    <row r="25" spans="1:14">
      <c r="A25" s="37" t="s">
        <v>143</v>
      </c>
      <c r="B25" s="38" t="s">
        <v>144</v>
      </c>
      <c r="C25" s="39" t="s">
        <v>145</v>
      </c>
      <c r="D25" s="40">
        <v>45113</v>
      </c>
      <c r="E25" s="40">
        <v>45113</v>
      </c>
      <c r="F25" s="40"/>
      <c r="G25" s="41" t="s">
        <v>81</v>
      </c>
      <c r="H25" s="42" t="s">
        <v>82</v>
      </c>
      <c r="I25" s="42" t="s">
        <v>83</v>
      </c>
      <c r="J25" s="43">
        <v>280</v>
      </c>
      <c r="L25" s="44" t="s">
        <v>141</v>
      </c>
      <c r="M25" s="44" t="s">
        <v>94</v>
      </c>
      <c r="N25" s="45">
        <v>339</v>
      </c>
    </row>
    <row r="26" spans="1:14">
      <c r="A26" s="37" t="s">
        <v>146</v>
      </c>
      <c r="B26" s="38" t="s">
        <v>147</v>
      </c>
      <c r="C26" s="39">
        <v>72119323136</v>
      </c>
      <c r="D26" s="40">
        <v>45078</v>
      </c>
      <c r="E26" s="40">
        <v>45078</v>
      </c>
      <c r="F26" s="40"/>
      <c r="G26" s="41" t="s">
        <v>81</v>
      </c>
      <c r="H26" s="42" t="s">
        <v>82</v>
      </c>
      <c r="I26" s="42" t="s">
        <v>83</v>
      </c>
      <c r="J26" s="43">
        <v>280</v>
      </c>
      <c r="L26" s="44" t="s">
        <v>144</v>
      </c>
      <c r="M26" s="44" t="s">
        <v>82</v>
      </c>
      <c r="N26" s="45">
        <v>339</v>
      </c>
    </row>
    <row r="27" spans="1:14">
      <c r="A27" s="37" t="s">
        <v>148</v>
      </c>
      <c r="B27" s="38" t="s">
        <v>149</v>
      </c>
      <c r="C27" s="39" t="s">
        <v>150</v>
      </c>
      <c r="D27" s="40">
        <v>44413</v>
      </c>
      <c r="E27" s="40">
        <v>44413</v>
      </c>
      <c r="F27" s="40"/>
      <c r="G27" s="41" t="s">
        <v>81</v>
      </c>
      <c r="H27" s="42" t="s">
        <v>82</v>
      </c>
      <c r="I27" s="42" t="s">
        <v>83</v>
      </c>
      <c r="J27" s="43">
        <v>280</v>
      </c>
      <c r="L27" s="44" t="s">
        <v>147</v>
      </c>
      <c r="M27" s="44" t="s">
        <v>82</v>
      </c>
      <c r="N27" s="45">
        <v>311</v>
      </c>
    </row>
    <row r="28" spans="1:14">
      <c r="A28" s="37" t="s">
        <v>151</v>
      </c>
      <c r="B28" s="38" t="s">
        <v>152</v>
      </c>
      <c r="C28" s="39" t="s">
        <v>153</v>
      </c>
      <c r="D28" s="40">
        <v>45365</v>
      </c>
      <c r="E28" s="40">
        <v>45365</v>
      </c>
      <c r="F28" s="40"/>
      <c r="G28" s="41" t="s">
        <v>81</v>
      </c>
      <c r="H28" s="42" t="s">
        <v>82</v>
      </c>
      <c r="I28" s="42" t="s">
        <v>83</v>
      </c>
      <c r="J28" s="43">
        <v>280</v>
      </c>
      <c r="L28" s="44" t="s">
        <v>149</v>
      </c>
      <c r="M28" s="44" t="s">
        <v>82</v>
      </c>
      <c r="N28" s="45">
        <v>226</v>
      </c>
    </row>
    <row r="29" spans="1:14">
      <c r="A29" s="37" t="s">
        <v>154</v>
      </c>
      <c r="B29" s="38" t="s">
        <v>155</v>
      </c>
      <c r="C29" s="39">
        <v>72998301674</v>
      </c>
      <c r="D29" s="40">
        <v>44826</v>
      </c>
      <c r="E29" s="40">
        <v>44826</v>
      </c>
      <c r="F29" s="40"/>
      <c r="G29" s="41" t="s">
        <v>81</v>
      </c>
      <c r="H29" s="42" t="s">
        <v>82</v>
      </c>
      <c r="I29" s="42" t="s">
        <v>83</v>
      </c>
      <c r="J29" s="43">
        <v>280</v>
      </c>
      <c r="L29" s="44" t="s">
        <v>152</v>
      </c>
      <c r="M29" s="44" t="s">
        <v>82</v>
      </c>
      <c r="N29" s="45">
        <v>226</v>
      </c>
    </row>
    <row r="30" spans="1:14">
      <c r="A30" s="37" t="s">
        <v>156</v>
      </c>
      <c r="B30" s="38" t="s">
        <v>157</v>
      </c>
      <c r="C30" s="39" t="s">
        <v>158</v>
      </c>
      <c r="D30" s="40">
        <v>45554</v>
      </c>
      <c r="E30" s="40">
        <v>45554</v>
      </c>
      <c r="F30" s="40"/>
      <c r="G30" s="41" t="s">
        <v>93</v>
      </c>
      <c r="H30" s="42" t="s">
        <v>94</v>
      </c>
      <c r="I30" s="42" t="s">
        <v>83</v>
      </c>
      <c r="J30" s="43">
        <v>280</v>
      </c>
      <c r="L30" s="44" t="s">
        <v>155</v>
      </c>
      <c r="M30" s="44" t="s">
        <v>82</v>
      </c>
      <c r="N30" s="45">
        <v>311</v>
      </c>
    </row>
    <row r="31" spans="1:14">
      <c r="A31" s="37" t="s">
        <v>159</v>
      </c>
      <c r="B31" s="38" t="s">
        <v>160</v>
      </c>
      <c r="C31" s="39">
        <v>72087900485</v>
      </c>
      <c r="D31" s="40">
        <v>44630</v>
      </c>
      <c r="E31" s="40">
        <v>44630</v>
      </c>
      <c r="F31" s="40"/>
      <c r="G31" s="41" t="s">
        <v>93</v>
      </c>
      <c r="H31" s="42" t="s">
        <v>94</v>
      </c>
      <c r="I31" s="42" t="s">
        <v>83</v>
      </c>
      <c r="J31" s="43">
        <v>280</v>
      </c>
      <c r="L31" s="44" t="s">
        <v>250</v>
      </c>
      <c r="M31" s="44" t="s">
        <v>94</v>
      </c>
      <c r="N31" s="45">
        <v>339</v>
      </c>
    </row>
    <row r="32" spans="1:14">
      <c r="A32" s="37" t="s">
        <v>161</v>
      </c>
      <c r="B32" s="38" t="s">
        <v>162</v>
      </c>
      <c r="C32" s="39" t="s">
        <v>163</v>
      </c>
      <c r="D32" s="40">
        <v>44307</v>
      </c>
      <c r="E32" s="40">
        <v>44389</v>
      </c>
      <c r="F32" s="40">
        <v>44307</v>
      </c>
      <c r="G32" s="41" t="s">
        <v>93</v>
      </c>
      <c r="H32" s="42" t="s">
        <v>94</v>
      </c>
      <c r="I32" s="42" t="s">
        <v>83</v>
      </c>
      <c r="J32" s="43">
        <v>280</v>
      </c>
      <c r="L32" s="44" t="s">
        <v>160</v>
      </c>
      <c r="M32" s="44" t="s">
        <v>94</v>
      </c>
      <c r="N32" s="45">
        <v>226</v>
      </c>
    </row>
    <row r="33" spans="1:14">
      <c r="A33" s="37" t="s">
        <v>164</v>
      </c>
      <c r="B33" s="38" t="s">
        <v>165</v>
      </c>
      <c r="C33" s="39" t="s">
        <v>166</v>
      </c>
      <c r="D33" s="40">
        <v>45512</v>
      </c>
      <c r="E33" s="40">
        <v>45512</v>
      </c>
      <c r="F33" s="40"/>
      <c r="G33" s="41" t="s">
        <v>93</v>
      </c>
      <c r="H33" s="42" t="s">
        <v>94</v>
      </c>
      <c r="I33" s="42" t="s">
        <v>83</v>
      </c>
      <c r="J33" s="43">
        <v>280</v>
      </c>
      <c r="L33" s="44" t="s">
        <v>162</v>
      </c>
      <c r="M33" s="44" t="s">
        <v>94</v>
      </c>
      <c r="N33" s="45">
        <v>397</v>
      </c>
    </row>
    <row r="34" spans="1:14" hidden="1">
      <c r="A34" s="37" t="s">
        <v>167</v>
      </c>
      <c r="B34" s="38" t="s">
        <v>168</v>
      </c>
      <c r="C34" s="39" t="s">
        <v>169</v>
      </c>
      <c r="D34" s="40">
        <v>44389</v>
      </c>
      <c r="E34" s="40">
        <v>44389</v>
      </c>
      <c r="F34" s="40"/>
      <c r="G34" s="41" t="s">
        <v>93</v>
      </c>
      <c r="H34" s="42" t="s">
        <v>94</v>
      </c>
      <c r="I34" s="42" t="s">
        <v>83</v>
      </c>
      <c r="J34" s="43">
        <v>280</v>
      </c>
      <c r="L34" s="44" t="s">
        <v>165</v>
      </c>
      <c r="M34" s="44" t="s">
        <v>94</v>
      </c>
      <c r="N34" s="45">
        <v>0</v>
      </c>
    </row>
    <row r="35" spans="1:14">
      <c r="A35" s="37">
        <v>2541</v>
      </c>
      <c r="B35" s="38" t="s">
        <v>170</v>
      </c>
      <c r="C35" s="39" t="s">
        <v>171</v>
      </c>
      <c r="D35" s="40">
        <v>45701</v>
      </c>
      <c r="E35" s="40">
        <v>45701</v>
      </c>
      <c r="F35" s="40"/>
      <c r="G35" s="41" t="s">
        <v>81</v>
      </c>
      <c r="H35" s="42" t="s">
        <v>82</v>
      </c>
      <c r="I35" s="42" t="s">
        <v>83</v>
      </c>
      <c r="J35" s="43">
        <v>280</v>
      </c>
      <c r="L35" s="44" t="s">
        <v>168</v>
      </c>
      <c r="M35" s="44" t="s">
        <v>94</v>
      </c>
      <c r="N35" s="45">
        <v>340</v>
      </c>
    </row>
    <row r="36" spans="1:14">
      <c r="A36" s="37" t="s">
        <v>172</v>
      </c>
      <c r="B36" s="38" t="s">
        <v>173</v>
      </c>
      <c r="C36" s="39" t="s">
        <v>174</v>
      </c>
      <c r="D36" s="40">
        <v>45533</v>
      </c>
      <c r="E36" s="40">
        <v>45533</v>
      </c>
      <c r="F36" s="40"/>
      <c r="G36" s="41" t="s">
        <v>93</v>
      </c>
      <c r="H36" s="42" t="s">
        <v>94</v>
      </c>
      <c r="I36" s="42" t="s">
        <v>83</v>
      </c>
      <c r="J36" s="43">
        <v>280</v>
      </c>
      <c r="L36" s="44" t="s">
        <v>170</v>
      </c>
      <c r="M36" s="44" t="s">
        <v>82</v>
      </c>
      <c r="N36" s="45">
        <v>509</v>
      </c>
    </row>
    <row r="37" spans="1:14">
      <c r="A37" s="37">
        <v>2678</v>
      </c>
      <c r="B37" s="38" t="s">
        <v>175</v>
      </c>
      <c r="C37" s="39" t="s">
        <v>176</v>
      </c>
      <c r="D37" s="40">
        <v>45988</v>
      </c>
      <c r="E37" s="40">
        <v>45988</v>
      </c>
      <c r="F37" s="40"/>
      <c r="G37" s="41" t="s">
        <v>93</v>
      </c>
      <c r="H37" s="42" t="s">
        <v>94</v>
      </c>
      <c r="I37" s="42" t="s">
        <v>83</v>
      </c>
      <c r="J37" s="43">
        <v>280</v>
      </c>
      <c r="L37" s="44" t="s">
        <v>173</v>
      </c>
      <c r="M37" s="44" t="s">
        <v>94</v>
      </c>
      <c r="N37" s="45">
        <v>340</v>
      </c>
    </row>
    <row r="38" spans="1:14">
      <c r="A38" s="37">
        <v>2500</v>
      </c>
      <c r="B38" s="38" t="s">
        <v>177</v>
      </c>
      <c r="C38" s="39" t="s">
        <v>178</v>
      </c>
      <c r="D38" s="40">
        <v>45666</v>
      </c>
      <c r="E38" s="40">
        <v>45666</v>
      </c>
      <c r="F38" s="40"/>
      <c r="G38" s="41" t="s">
        <v>81</v>
      </c>
      <c r="H38" s="42" t="s">
        <v>82</v>
      </c>
      <c r="I38" s="42" t="s">
        <v>83</v>
      </c>
      <c r="J38" s="43">
        <v>280</v>
      </c>
      <c r="L38" s="44" t="s">
        <v>175</v>
      </c>
      <c r="M38" s="44" t="s">
        <v>94</v>
      </c>
      <c r="N38" s="45">
        <v>226</v>
      </c>
    </row>
    <row r="39" spans="1:14">
      <c r="A39" s="37">
        <v>2530</v>
      </c>
      <c r="B39" s="38" t="s">
        <v>179</v>
      </c>
      <c r="C39" s="39" t="s">
        <v>180</v>
      </c>
      <c r="D39" s="40">
        <v>45687</v>
      </c>
      <c r="E39" s="40">
        <v>45687</v>
      </c>
      <c r="F39" s="40"/>
      <c r="G39" s="41" t="s">
        <v>93</v>
      </c>
      <c r="H39" s="42" t="s">
        <v>94</v>
      </c>
      <c r="I39" s="42" t="s">
        <v>83</v>
      </c>
      <c r="J39" s="43">
        <v>280</v>
      </c>
      <c r="L39" s="44" t="s">
        <v>249</v>
      </c>
      <c r="M39" s="44" t="s">
        <v>82</v>
      </c>
      <c r="N39" s="45">
        <v>481</v>
      </c>
    </row>
    <row r="40" spans="1:14">
      <c r="A40" s="37" t="s">
        <v>181</v>
      </c>
      <c r="B40" s="38" t="s">
        <v>182</v>
      </c>
      <c r="C40" s="39" t="s">
        <v>183</v>
      </c>
      <c r="D40" s="40">
        <v>45400</v>
      </c>
      <c r="E40" s="40">
        <v>45400</v>
      </c>
      <c r="F40" s="40"/>
      <c r="G40" s="41" t="s">
        <v>81</v>
      </c>
      <c r="H40" s="42" t="s">
        <v>82</v>
      </c>
      <c r="I40" s="42" t="s">
        <v>83</v>
      </c>
      <c r="J40" s="43">
        <v>280</v>
      </c>
      <c r="L40" s="44" t="s">
        <v>179</v>
      </c>
      <c r="M40" s="44" t="s">
        <v>94</v>
      </c>
      <c r="N40" s="45">
        <v>226</v>
      </c>
    </row>
    <row r="41" spans="1:14">
      <c r="A41" s="37" t="s">
        <v>184</v>
      </c>
      <c r="B41" s="38" t="s">
        <v>185</v>
      </c>
      <c r="C41" s="39">
        <v>8230017496</v>
      </c>
      <c r="D41" s="47">
        <v>45232</v>
      </c>
      <c r="E41" s="47">
        <v>45232</v>
      </c>
      <c r="F41" s="40"/>
      <c r="G41" s="41" t="s">
        <v>81</v>
      </c>
      <c r="H41" s="42" t="s">
        <v>82</v>
      </c>
      <c r="I41" s="42" t="s">
        <v>83</v>
      </c>
      <c r="J41" s="43">
        <v>280</v>
      </c>
      <c r="L41" s="44" t="s">
        <v>182</v>
      </c>
      <c r="M41" s="44" t="s">
        <v>82</v>
      </c>
      <c r="N41" s="45">
        <v>226</v>
      </c>
    </row>
    <row r="42" spans="1:14">
      <c r="A42" s="37" t="s">
        <v>186</v>
      </c>
      <c r="B42" s="38" t="s">
        <v>187</v>
      </c>
      <c r="C42" s="39" t="s">
        <v>188</v>
      </c>
      <c r="D42" s="40">
        <v>45582</v>
      </c>
      <c r="E42" s="40" t="s">
        <v>189</v>
      </c>
      <c r="F42" s="40"/>
      <c r="G42" s="41" t="s">
        <v>93</v>
      </c>
      <c r="H42" s="42" t="s">
        <v>94</v>
      </c>
      <c r="I42" s="42" t="s">
        <v>83</v>
      </c>
      <c r="J42" s="43">
        <v>280</v>
      </c>
      <c r="L42" s="44" t="s">
        <v>185</v>
      </c>
      <c r="M42" s="44" t="s">
        <v>82</v>
      </c>
      <c r="N42" s="45">
        <v>311</v>
      </c>
    </row>
    <row r="43" spans="1:14">
      <c r="A43" s="37">
        <v>2619</v>
      </c>
      <c r="B43" s="48" t="s">
        <v>190</v>
      </c>
      <c r="C43" s="39" t="s">
        <v>191</v>
      </c>
      <c r="D43" s="40">
        <v>45848</v>
      </c>
      <c r="E43" s="40">
        <v>45848</v>
      </c>
      <c r="F43" s="40"/>
      <c r="G43" s="41" t="s">
        <v>93</v>
      </c>
      <c r="H43" s="42" t="s">
        <v>94</v>
      </c>
      <c r="I43" s="42" t="s">
        <v>83</v>
      </c>
      <c r="J43" s="43">
        <v>280</v>
      </c>
      <c r="L43" s="44" t="s">
        <v>187</v>
      </c>
      <c r="M43" s="44" t="s">
        <v>94</v>
      </c>
      <c r="N43" s="45">
        <v>226</v>
      </c>
    </row>
    <row r="44" spans="1:14" hidden="1">
      <c r="A44" s="37">
        <v>2545</v>
      </c>
      <c r="B44" s="38" t="s">
        <v>192</v>
      </c>
      <c r="C44" s="39" t="s">
        <v>193</v>
      </c>
      <c r="D44" s="40">
        <v>45708</v>
      </c>
      <c r="E44" s="40">
        <v>45708</v>
      </c>
      <c r="F44" s="40"/>
      <c r="G44" s="41" t="s">
        <v>93</v>
      </c>
      <c r="H44" s="42" t="s">
        <v>94</v>
      </c>
      <c r="I44" s="42" t="s">
        <v>83</v>
      </c>
      <c r="J44" s="43">
        <v>280</v>
      </c>
      <c r="L44" s="44" t="s">
        <v>254</v>
      </c>
      <c r="M44" s="44" t="s">
        <v>94</v>
      </c>
      <c r="N44" s="45">
        <v>0</v>
      </c>
    </row>
    <row r="45" spans="1:14">
      <c r="A45" s="37" t="s">
        <v>194</v>
      </c>
      <c r="B45" s="38" t="s">
        <v>195</v>
      </c>
      <c r="C45" s="39" t="s">
        <v>196</v>
      </c>
      <c r="D45" s="40">
        <v>45260</v>
      </c>
      <c r="E45" s="40">
        <v>45260</v>
      </c>
      <c r="F45" s="40"/>
      <c r="G45" s="41" t="s">
        <v>93</v>
      </c>
      <c r="H45" s="42" t="s">
        <v>94</v>
      </c>
      <c r="I45" s="42" t="s">
        <v>83</v>
      </c>
      <c r="J45" s="43">
        <v>280</v>
      </c>
      <c r="L45" s="44" t="s">
        <v>192</v>
      </c>
      <c r="M45" s="44" t="s">
        <v>94</v>
      </c>
      <c r="N45" s="45">
        <v>226</v>
      </c>
    </row>
    <row r="46" spans="1:14">
      <c r="A46" s="37" t="s">
        <v>197</v>
      </c>
      <c r="B46" s="38" t="s">
        <v>198</v>
      </c>
      <c r="C46" s="39" t="s">
        <v>199</v>
      </c>
      <c r="D46" s="40">
        <v>45260</v>
      </c>
      <c r="E46" s="40">
        <v>45260</v>
      </c>
      <c r="F46" s="40"/>
      <c r="G46" s="41" t="s">
        <v>81</v>
      </c>
      <c r="H46" s="42" t="s">
        <v>82</v>
      </c>
      <c r="I46" s="42" t="s">
        <v>83</v>
      </c>
      <c r="J46" s="43">
        <v>280</v>
      </c>
      <c r="L46" s="44" t="s">
        <v>251</v>
      </c>
      <c r="M46" s="44" t="s">
        <v>94</v>
      </c>
      <c r="N46" s="45">
        <v>226</v>
      </c>
    </row>
    <row r="47" spans="1:14">
      <c r="A47" s="37">
        <v>2664</v>
      </c>
      <c r="B47" s="38" t="s">
        <v>200</v>
      </c>
      <c r="C47" s="39" t="s">
        <v>201</v>
      </c>
      <c r="D47" s="40">
        <v>45946</v>
      </c>
      <c r="E47" s="40">
        <v>45946</v>
      </c>
      <c r="F47" s="40"/>
      <c r="G47" s="41" t="s">
        <v>93</v>
      </c>
      <c r="H47" s="42" t="s">
        <v>94</v>
      </c>
      <c r="I47" s="42" t="s">
        <v>83</v>
      </c>
      <c r="J47" s="43">
        <v>280</v>
      </c>
      <c r="L47" s="44" t="s">
        <v>198</v>
      </c>
      <c r="M47" s="44" t="s">
        <v>82</v>
      </c>
      <c r="N47" s="45">
        <v>169</v>
      </c>
    </row>
    <row r="48" spans="1:14">
      <c r="A48" s="37" t="s">
        <v>202</v>
      </c>
      <c r="B48" s="38" t="s">
        <v>203</v>
      </c>
      <c r="C48" s="39" t="s">
        <v>204</v>
      </c>
      <c r="D48" s="40">
        <v>44595</v>
      </c>
      <c r="E48" s="40">
        <v>44595</v>
      </c>
      <c r="F48" s="40"/>
      <c r="G48" s="41" t="s">
        <v>93</v>
      </c>
      <c r="H48" s="42" t="s">
        <v>94</v>
      </c>
      <c r="I48" s="42" t="s">
        <v>83</v>
      </c>
      <c r="J48" s="43">
        <v>280</v>
      </c>
      <c r="L48" s="44" t="s">
        <v>200</v>
      </c>
      <c r="M48" s="44" t="s">
        <v>94</v>
      </c>
      <c r="N48" s="45">
        <v>113</v>
      </c>
    </row>
    <row r="49" spans="1:14">
      <c r="A49" s="37" t="s">
        <v>205</v>
      </c>
      <c r="B49" s="38" t="s">
        <v>206</v>
      </c>
      <c r="C49" s="39" t="s">
        <v>207</v>
      </c>
      <c r="D49" s="40">
        <v>44389</v>
      </c>
      <c r="E49" s="40">
        <v>44389</v>
      </c>
      <c r="F49" s="40"/>
      <c r="G49" s="41" t="s">
        <v>81</v>
      </c>
      <c r="H49" s="42" t="s">
        <v>82</v>
      </c>
      <c r="I49" s="42" t="s">
        <v>83</v>
      </c>
      <c r="J49" s="43">
        <v>280</v>
      </c>
      <c r="L49" s="44" t="s">
        <v>203</v>
      </c>
      <c r="M49" s="44" t="s">
        <v>94</v>
      </c>
      <c r="N49" s="45">
        <v>226</v>
      </c>
    </row>
    <row r="50" spans="1:14">
      <c r="A50" s="37" t="s">
        <v>208</v>
      </c>
      <c r="B50" s="38" t="s">
        <v>209</v>
      </c>
      <c r="C50" s="39" t="s">
        <v>210</v>
      </c>
      <c r="D50" s="40">
        <v>44307</v>
      </c>
      <c r="E50" s="40">
        <v>44389</v>
      </c>
      <c r="F50" s="40">
        <v>44307</v>
      </c>
      <c r="G50" s="41" t="s">
        <v>93</v>
      </c>
      <c r="H50" s="42" t="s">
        <v>94</v>
      </c>
      <c r="I50" s="42" t="s">
        <v>83</v>
      </c>
      <c r="J50" s="43">
        <v>280</v>
      </c>
      <c r="L50" s="44" t="s">
        <v>206</v>
      </c>
      <c r="M50" s="44" t="s">
        <v>82</v>
      </c>
      <c r="N50" s="45">
        <v>226</v>
      </c>
    </row>
    <row r="51" spans="1:14">
      <c r="A51" s="37" t="s">
        <v>211</v>
      </c>
      <c r="B51" s="38" t="s">
        <v>212</v>
      </c>
      <c r="C51" s="39">
        <v>25190068251</v>
      </c>
      <c r="D51" s="40">
        <v>45141</v>
      </c>
      <c r="E51" s="40">
        <v>45141</v>
      </c>
      <c r="F51" s="40"/>
      <c r="G51" s="41" t="s">
        <v>93</v>
      </c>
      <c r="H51" s="42" t="s">
        <v>94</v>
      </c>
      <c r="I51" s="42" t="s">
        <v>83</v>
      </c>
      <c r="J51" s="43">
        <v>280</v>
      </c>
      <c r="L51" s="44" t="s">
        <v>209</v>
      </c>
      <c r="M51" s="44" t="s">
        <v>94</v>
      </c>
      <c r="N51" s="45">
        <v>397</v>
      </c>
    </row>
    <row r="52" spans="1:14">
      <c r="A52" s="37" t="s">
        <v>213</v>
      </c>
      <c r="B52" s="38" t="s">
        <v>214</v>
      </c>
      <c r="C52" s="39" t="s">
        <v>215</v>
      </c>
      <c r="D52" s="40">
        <v>45505</v>
      </c>
      <c r="E52" s="40">
        <v>45505</v>
      </c>
      <c r="F52" s="40"/>
      <c r="G52" s="41" t="s">
        <v>93</v>
      </c>
      <c r="H52" s="42" t="s">
        <v>94</v>
      </c>
      <c r="I52" s="42" t="s">
        <v>83</v>
      </c>
      <c r="J52" s="43">
        <v>280</v>
      </c>
      <c r="L52" s="44" t="s">
        <v>212</v>
      </c>
      <c r="M52" s="44" t="s">
        <v>94</v>
      </c>
      <c r="N52" s="45">
        <v>311</v>
      </c>
    </row>
    <row r="53" spans="1:14">
      <c r="A53" s="37">
        <v>2544</v>
      </c>
      <c r="B53" s="38" t="s">
        <v>216</v>
      </c>
      <c r="C53" s="39" t="s">
        <v>217</v>
      </c>
      <c r="D53" s="40">
        <v>45708</v>
      </c>
      <c r="E53" s="40">
        <v>45708</v>
      </c>
      <c r="F53" s="40"/>
      <c r="G53" s="41" t="s">
        <v>81</v>
      </c>
      <c r="H53" s="42" t="s">
        <v>82</v>
      </c>
      <c r="I53" s="42" t="s">
        <v>83</v>
      </c>
      <c r="J53" s="43">
        <v>280</v>
      </c>
      <c r="L53" s="44" t="s">
        <v>214</v>
      </c>
      <c r="M53" s="44" t="s">
        <v>94</v>
      </c>
      <c r="N53" s="45">
        <v>339</v>
      </c>
    </row>
    <row r="54" spans="1:14">
      <c r="A54" s="37" t="s">
        <v>218</v>
      </c>
      <c r="B54" s="38" t="s">
        <v>219</v>
      </c>
      <c r="C54" s="39" t="s">
        <v>220</v>
      </c>
      <c r="D54" s="40">
        <v>44389</v>
      </c>
      <c r="E54" s="40">
        <v>44389</v>
      </c>
      <c r="F54" s="40"/>
      <c r="G54" s="41" t="s">
        <v>93</v>
      </c>
      <c r="H54" s="42" t="s">
        <v>94</v>
      </c>
      <c r="I54" s="42" t="s">
        <v>83</v>
      </c>
      <c r="J54" s="43">
        <v>280</v>
      </c>
      <c r="L54" s="44" t="s">
        <v>216</v>
      </c>
      <c r="M54" s="44" t="s">
        <v>82</v>
      </c>
      <c r="N54" s="45">
        <v>340</v>
      </c>
    </row>
    <row r="55" spans="1:14">
      <c r="A55" s="37" t="s">
        <v>221</v>
      </c>
      <c r="B55" s="38" t="s">
        <v>222</v>
      </c>
      <c r="C55" s="39" t="s">
        <v>223</v>
      </c>
      <c r="D55" s="40">
        <v>45316</v>
      </c>
      <c r="E55" s="40">
        <v>45316</v>
      </c>
      <c r="F55" s="40"/>
      <c r="G55" s="41" t="s">
        <v>81</v>
      </c>
      <c r="H55" s="42" t="s">
        <v>82</v>
      </c>
      <c r="I55" s="42" t="s">
        <v>83</v>
      </c>
      <c r="J55" s="43">
        <v>280</v>
      </c>
      <c r="L55" s="44" t="s">
        <v>219</v>
      </c>
      <c r="M55" s="44" t="s">
        <v>94</v>
      </c>
      <c r="N55" s="45">
        <v>509</v>
      </c>
    </row>
    <row r="56" spans="1:14">
      <c r="A56" s="37">
        <v>2526</v>
      </c>
      <c r="B56" s="38" t="s">
        <v>224</v>
      </c>
      <c r="C56" s="39" t="s">
        <v>225</v>
      </c>
      <c r="D56" s="40">
        <v>45680</v>
      </c>
      <c r="E56" s="40">
        <v>45680</v>
      </c>
      <c r="F56" s="40"/>
      <c r="G56" s="41" t="s">
        <v>81</v>
      </c>
      <c r="H56" s="42" t="s">
        <v>82</v>
      </c>
      <c r="I56" s="42" t="s">
        <v>83</v>
      </c>
      <c r="J56" s="43">
        <v>280</v>
      </c>
      <c r="L56" s="44" t="s">
        <v>222</v>
      </c>
      <c r="M56" s="44" t="s">
        <v>82</v>
      </c>
      <c r="N56" s="45">
        <v>226</v>
      </c>
    </row>
    <row r="57" spans="1:14">
      <c r="A57" s="37" t="s">
        <v>226</v>
      </c>
      <c r="B57" s="38" t="s">
        <v>227</v>
      </c>
      <c r="C57" s="39" t="s">
        <v>228</v>
      </c>
      <c r="D57" s="40">
        <v>44623</v>
      </c>
      <c r="E57" s="40">
        <v>44623</v>
      </c>
      <c r="F57" s="40"/>
      <c r="G57" s="41" t="s">
        <v>81</v>
      </c>
      <c r="H57" s="42" t="s">
        <v>82</v>
      </c>
      <c r="I57" s="42" t="s">
        <v>83</v>
      </c>
      <c r="J57" s="43">
        <v>280</v>
      </c>
      <c r="L57" s="44" t="s">
        <v>224</v>
      </c>
      <c r="M57" s="44" t="s">
        <v>82</v>
      </c>
      <c r="N57" s="45">
        <v>340</v>
      </c>
    </row>
    <row r="58" spans="1:14">
      <c r="A58" s="37" t="s">
        <v>229</v>
      </c>
      <c r="B58" s="38" t="s">
        <v>230</v>
      </c>
      <c r="C58" s="39">
        <v>72117501980</v>
      </c>
      <c r="D58" s="40">
        <v>44805</v>
      </c>
      <c r="E58" s="40">
        <v>44805</v>
      </c>
      <c r="F58" s="40"/>
      <c r="G58" s="41" t="s">
        <v>93</v>
      </c>
      <c r="H58" s="42" t="s">
        <v>94</v>
      </c>
      <c r="I58" s="42" t="s">
        <v>83</v>
      </c>
      <c r="J58" s="43">
        <v>280</v>
      </c>
      <c r="L58" s="44" t="s">
        <v>227</v>
      </c>
      <c r="M58" s="44" t="s">
        <v>82</v>
      </c>
      <c r="N58" s="45">
        <v>311</v>
      </c>
    </row>
    <row r="59" spans="1:14">
      <c r="A59" s="37" t="s">
        <v>231</v>
      </c>
      <c r="B59" s="38" t="s">
        <v>232</v>
      </c>
      <c r="C59" s="39" t="s">
        <v>233</v>
      </c>
      <c r="D59" s="40">
        <v>44777</v>
      </c>
      <c r="E59" s="40">
        <v>44777</v>
      </c>
      <c r="F59" s="40"/>
      <c r="G59" s="41" t="s">
        <v>93</v>
      </c>
      <c r="H59" s="42" t="s">
        <v>94</v>
      </c>
      <c r="I59" s="42" t="s">
        <v>83</v>
      </c>
      <c r="J59" s="43">
        <v>280</v>
      </c>
      <c r="L59" s="44" t="s">
        <v>230</v>
      </c>
      <c r="M59" s="44" t="s">
        <v>94</v>
      </c>
      <c r="N59" s="45">
        <v>226</v>
      </c>
    </row>
    <row r="60" spans="1:14" hidden="1">
      <c r="A60" s="37">
        <v>2523</v>
      </c>
      <c r="B60" s="38" t="s">
        <v>234</v>
      </c>
      <c r="C60" s="39" t="s">
        <v>235</v>
      </c>
      <c r="D60" s="40">
        <v>45680</v>
      </c>
      <c r="E60" s="40">
        <v>45680</v>
      </c>
      <c r="F60" s="40"/>
      <c r="G60" s="41" t="s">
        <v>81</v>
      </c>
      <c r="H60" s="42" t="s">
        <v>82</v>
      </c>
      <c r="I60" s="42" t="s">
        <v>83</v>
      </c>
      <c r="J60" s="43">
        <v>280</v>
      </c>
      <c r="L60" s="44" t="s">
        <v>232</v>
      </c>
      <c r="M60" s="44" t="s">
        <v>94</v>
      </c>
      <c r="N60" s="45">
        <v>0</v>
      </c>
    </row>
    <row r="61" spans="1:14">
      <c r="A61" s="49">
        <v>2534</v>
      </c>
      <c r="B61" s="38" t="s">
        <v>236</v>
      </c>
      <c r="C61" s="50" t="s">
        <v>237</v>
      </c>
      <c r="D61" s="47">
        <v>45694</v>
      </c>
      <c r="E61" s="47">
        <v>45694</v>
      </c>
      <c r="F61" s="47"/>
      <c r="G61" s="51" t="s">
        <v>93</v>
      </c>
      <c r="H61" s="38" t="s">
        <v>94</v>
      </c>
      <c r="I61" s="38" t="s">
        <v>83</v>
      </c>
      <c r="J61" s="52">
        <v>280</v>
      </c>
      <c r="L61" s="44" t="s">
        <v>234</v>
      </c>
      <c r="M61" s="44" t="s">
        <v>82</v>
      </c>
      <c r="N61" s="45">
        <v>509</v>
      </c>
    </row>
    <row r="62" spans="1:14">
      <c r="A62" s="37" t="s">
        <v>238</v>
      </c>
      <c r="B62" s="38" t="s">
        <v>239</v>
      </c>
      <c r="C62" s="39">
        <v>27149355250</v>
      </c>
      <c r="D62" s="40">
        <v>45176</v>
      </c>
      <c r="E62" s="40">
        <v>45176</v>
      </c>
      <c r="F62" s="40"/>
      <c r="G62" s="41" t="s">
        <v>81</v>
      </c>
      <c r="H62" s="42" t="s">
        <v>82</v>
      </c>
      <c r="I62" s="42" t="s">
        <v>83</v>
      </c>
      <c r="J62" s="43">
        <v>280</v>
      </c>
      <c r="L62" s="44" t="s">
        <v>252</v>
      </c>
      <c r="M62" s="44" t="s">
        <v>94</v>
      </c>
      <c r="N62" s="45">
        <v>113</v>
      </c>
    </row>
    <row r="63" spans="1:14" hidden="1">
      <c r="A63" s="37" t="s">
        <v>240</v>
      </c>
      <c r="B63" s="38" t="s">
        <v>241</v>
      </c>
      <c r="C63" s="39" t="s">
        <v>242</v>
      </c>
      <c r="D63" s="40">
        <v>45428</v>
      </c>
      <c r="E63" s="40">
        <v>45428</v>
      </c>
      <c r="F63" s="40"/>
      <c r="G63" s="41" t="s">
        <v>81</v>
      </c>
      <c r="H63" s="42" t="s">
        <v>82</v>
      </c>
      <c r="I63" s="42" t="s">
        <v>83</v>
      </c>
      <c r="J63" s="43">
        <v>280</v>
      </c>
      <c r="L63" s="44" t="s">
        <v>239</v>
      </c>
      <c r="M63" s="44" t="s">
        <v>82</v>
      </c>
      <c r="N63" s="45">
        <v>0</v>
      </c>
    </row>
    <row r="64" spans="1:14">
      <c r="A64" s="53" t="s">
        <v>243</v>
      </c>
      <c r="B64" s="54"/>
      <c r="C64" s="55"/>
      <c r="D64" s="55"/>
      <c r="E64" s="55"/>
      <c r="F64" s="55"/>
      <c r="G64" s="56"/>
      <c r="H64" s="57"/>
      <c r="I64" s="57"/>
      <c r="J64" s="57">
        <f>SUBTOTAL(103,Tabla2[Salario Diario])</f>
        <v>55</v>
      </c>
      <c r="L64" s="58" t="s">
        <v>243</v>
      </c>
      <c r="M64" s="58">
        <f>SUBTOTAL(103,Tabla4[SECCIÓN])</f>
        <v>55</v>
      </c>
      <c r="N64" s="59">
        <f>SUBTOTAL(109,Tabla4[INCENTIVO])</f>
        <v>16514</v>
      </c>
    </row>
    <row r="66" spans="7:9">
      <c r="H66" s="3" t="s">
        <v>1046</v>
      </c>
      <c r="I66" s="64">
        <v>766269.66</v>
      </c>
    </row>
    <row r="67" spans="7:9">
      <c r="H67" s="3" t="s">
        <v>1047</v>
      </c>
      <c r="I67" s="65">
        <f>Tabla4[[#Totals],[INCENTIVO]]*4.33</f>
        <v>71505.62</v>
      </c>
    </row>
    <row r="68" spans="7:9">
      <c r="H68" s="3" t="s">
        <v>1048</v>
      </c>
      <c r="I68" s="64">
        <f>+I67+I66</f>
        <v>837775.28</v>
      </c>
    </row>
    <row r="69" spans="7:9">
      <c r="I69" s="64"/>
    </row>
    <row r="70" spans="7:9">
      <c r="H70" s="3"/>
      <c r="I70" s="64"/>
    </row>
    <row r="71" spans="7:9">
      <c r="G71" s="3" t="s">
        <v>1050</v>
      </c>
      <c r="H71" s="66">
        <f>55/71</f>
        <v>0.77464788732394363</v>
      </c>
      <c r="I71" s="74" t="s">
        <v>1063</v>
      </c>
    </row>
    <row r="72" spans="7:9">
      <c r="I72" s="1">
        <v>1000</v>
      </c>
    </row>
    <row r="73" spans="7:9">
      <c r="I73" s="74" t="s">
        <v>1064</v>
      </c>
    </row>
    <row r="74" spans="7:9">
      <c r="G74" s="3" t="s">
        <v>1054</v>
      </c>
      <c r="H74" s="69">
        <v>62</v>
      </c>
      <c r="I74" s="6">
        <f>I72/H74</f>
        <v>16.129032258064516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1CB8-3CC5-49CE-B0E4-79796E1C59D4}">
  <dimension ref="A1:N211"/>
  <sheetViews>
    <sheetView topLeftCell="C185" workbookViewId="0">
      <selection activeCell="G203" sqref="G203"/>
    </sheetView>
  </sheetViews>
  <sheetFormatPr baseColWidth="10" defaultRowHeight="14.5"/>
  <cols>
    <col min="1" max="1" width="11.6328125" customWidth="1"/>
    <col min="2" max="2" width="36.36328125" bestFit="1" customWidth="1"/>
    <col min="3" max="3" width="27.453125" customWidth="1"/>
    <col min="4" max="4" width="24.7265625" customWidth="1"/>
    <col min="5" max="5" width="25.08984375" customWidth="1"/>
    <col min="6" max="6" width="26.36328125" customWidth="1"/>
    <col min="7" max="7" width="17.08984375" bestFit="1" customWidth="1"/>
    <col min="8" max="8" width="21.54296875" bestFit="1" customWidth="1"/>
    <col min="9" max="9" width="17.81640625" bestFit="1" customWidth="1"/>
    <col min="10" max="10" width="17.6328125" bestFit="1" customWidth="1"/>
    <col min="12" max="12" width="32.08984375" bestFit="1" customWidth="1"/>
    <col min="13" max="13" width="20.1796875" bestFit="1" customWidth="1"/>
    <col min="14" max="14" width="13.453125" bestFit="1" customWidth="1"/>
  </cols>
  <sheetData>
    <row r="1" spans="1:14" ht="15">
      <c r="A1" s="21" t="s">
        <v>68</v>
      </c>
      <c r="B1" s="21" t="s">
        <v>69</v>
      </c>
      <c r="C1" s="21" t="s">
        <v>70</v>
      </c>
      <c r="D1" s="21" t="s">
        <v>71</v>
      </c>
      <c r="E1" s="21" t="s">
        <v>72</v>
      </c>
      <c r="F1" s="21" t="s">
        <v>73</v>
      </c>
      <c r="G1" s="22" t="s">
        <v>74</v>
      </c>
      <c r="H1" s="22" t="s">
        <v>75</v>
      </c>
      <c r="I1" s="22" t="s">
        <v>76</v>
      </c>
      <c r="J1" s="23" t="s">
        <v>77</v>
      </c>
      <c r="L1" s="31" t="s">
        <v>244</v>
      </c>
      <c r="M1" s="31" t="s">
        <v>245</v>
      </c>
      <c r="N1" s="32" t="s">
        <v>246</v>
      </c>
    </row>
    <row r="2" spans="1:14" ht="15.5">
      <c r="A2" s="9" t="s">
        <v>255</v>
      </c>
      <c r="B2" s="10" t="s">
        <v>256</v>
      </c>
      <c r="C2" s="11" t="s">
        <v>257</v>
      </c>
      <c r="D2" s="12">
        <v>44574</v>
      </c>
      <c r="E2" s="12">
        <v>44574</v>
      </c>
      <c r="F2" s="12"/>
      <c r="G2" s="13" t="s">
        <v>258</v>
      </c>
      <c r="H2" s="14" t="s">
        <v>259</v>
      </c>
      <c r="I2" s="14" t="s">
        <v>83</v>
      </c>
      <c r="J2" s="15">
        <v>280</v>
      </c>
      <c r="L2" s="29" t="s">
        <v>256</v>
      </c>
      <c r="M2" s="29" t="s">
        <v>775</v>
      </c>
      <c r="N2" s="30">
        <v>311</v>
      </c>
    </row>
    <row r="3" spans="1:14" ht="15.5">
      <c r="A3" s="9" t="s">
        <v>260</v>
      </c>
      <c r="B3" s="10" t="s">
        <v>261</v>
      </c>
      <c r="C3" s="11" t="s">
        <v>262</v>
      </c>
      <c r="D3" s="12">
        <v>45393</v>
      </c>
      <c r="E3" s="12">
        <v>45393</v>
      </c>
      <c r="F3" s="12"/>
      <c r="G3" s="13" t="s">
        <v>258</v>
      </c>
      <c r="H3" s="14" t="s">
        <v>259</v>
      </c>
      <c r="I3" s="14" t="s">
        <v>83</v>
      </c>
      <c r="J3" s="15">
        <v>280</v>
      </c>
      <c r="L3" s="29" t="s">
        <v>278</v>
      </c>
      <c r="M3" s="29" t="s">
        <v>775</v>
      </c>
      <c r="N3" s="30">
        <v>424</v>
      </c>
    </row>
    <row r="4" spans="1:14" ht="15.5">
      <c r="A4" s="9" t="s">
        <v>263</v>
      </c>
      <c r="B4" s="10" t="s">
        <v>264</v>
      </c>
      <c r="C4" s="11" t="s">
        <v>265</v>
      </c>
      <c r="D4" s="12">
        <v>45386</v>
      </c>
      <c r="E4" s="12">
        <v>45386</v>
      </c>
      <c r="F4" s="12"/>
      <c r="G4" s="13" t="s">
        <v>258</v>
      </c>
      <c r="H4" s="14" t="s">
        <v>259</v>
      </c>
      <c r="I4" s="14" t="s">
        <v>83</v>
      </c>
      <c r="J4" s="15">
        <v>280</v>
      </c>
      <c r="L4" s="29" t="s">
        <v>261</v>
      </c>
      <c r="M4" s="29" t="s">
        <v>775</v>
      </c>
      <c r="N4" s="30">
        <v>198</v>
      </c>
    </row>
    <row r="5" spans="1:14" ht="15.5">
      <c r="A5" s="9" t="s">
        <v>266</v>
      </c>
      <c r="B5" s="10" t="s">
        <v>267</v>
      </c>
      <c r="C5" s="11" t="s">
        <v>268</v>
      </c>
      <c r="D5" s="12">
        <v>45113</v>
      </c>
      <c r="E5" s="12">
        <v>45113</v>
      </c>
      <c r="F5" s="12"/>
      <c r="G5" s="13" t="s">
        <v>258</v>
      </c>
      <c r="H5" s="14" t="s">
        <v>259</v>
      </c>
      <c r="I5" s="14" t="s">
        <v>83</v>
      </c>
      <c r="J5" s="15">
        <v>280</v>
      </c>
      <c r="L5" s="29" t="s">
        <v>281</v>
      </c>
      <c r="M5" s="29" t="s">
        <v>775</v>
      </c>
      <c r="N5" s="30">
        <v>397</v>
      </c>
    </row>
    <row r="6" spans="1:14" ht="15.5">
      <c r="A6" s="9" t="s">
        <v>269</v>
      </c>
      <c r="B6" s="10" t="s">
        <v>270</v>
      </c>
      <c r="C6" s="11" t="s">
        <v>271</v>
      </c>
      <c r="D6" s="12">
        <v>45204</v>
      </c>
      <c r="E6" s="12">
        <v>45204</v>
      </c>
      <c r="F6" s="12"/>
      <c r="G6" s="13" t="s">
        <v>258</v>
      </c>
      <c r="H6" s="14" t="s">
        <v>259</v>
      </c>
      <c r="I6" s="14" t="s">
        <v>83</v>
      </c>
      <c r="J6" s="15">
        <v>280</v>
      </c>
      <c r="L6" s="29" t="s">
        <v>284</v>
      </c>
      <c r="M6" s="29" t="s">
        <v>775</v>
      </c>
      <c r="N6" s="30">
        <v>226</v>
      </c>
    </row>
    <row r="7" spans="1:14" ht="15.5">
      <c r="A7" s="9" t="s">
        <v>272</v>
      </c>
      <c r="B7" s="10" t="s">
        <v>273</v>
      </c>
      <c r="C7" s="11" t="s">
        <v>274</v>
      </c>
      <c r="D7" s="12">
        <v>43535</v>
      </c>
      <c r="E7" s="12">
        <v>44389</v>
      </c>
      <c r="F7" s="12">
        <v>43535</v>
      </c>
      <c r="G7" s="13" t="s">
        <v>258</v>
      </c>
      <c r="H7" s="14" t="s">
        <v>259</v>
      </c>
      <c r="I7" s="14" t="s">
        <v>83</v>
      </c>
      <c r="J7" s="15">
        <v>280</v>
      </c>
      <c r="L7" s="29" t="s">
        <v>264</v>
      </c>
      <c r="M7" s="29" t="s">
        <v>775</v>
      </c>
      <c r="N7" s="30">
        <v>311</v>
      </c>
    </row>
    <row r="8" spans="1:14" ht="15.5">
      <c r="A8" s="9" t="s">
        <v>275</v>
      </c>
      <c r="B8" s="10" t="s">
        <v>276</v>
      </c>
      <c r="C8" s="11">
        <v>17149125100</v>
      </c>
      <c r="D8" s="12">
        <v>44574</v>
      </c>
      <c r="E8" s="12">
        <v>44574</v>
      </c>
      <c r="F8" s="12"/>
      <c r="G8" s="13" t="s">
        <v>258</v>
      </c>
      <c r="H8" s="14" t="s">
        <v>259</v>
      </c>
      <c r="I8" s="14" t="s">
        <v>83</v>
      </c>
      <c r="J8" s="15">
        <v>280</v>
      </c>
      <c r="L8" s="29" t="s">
        <v>287</v>
      </c>
      <c r="M8" s="29" t="s">
        <v>775</v>
      </c>
      <c r="N8" s="30">
        <v>311</v>
      </c>
    </row>
    <row r="9" spans="1:14" ht="15.5">
      <c r="A9" s="9" t="s">
        <v>277</v>
      </c>
      <c r="B9" s="10" t="s">
        <v>278</v>
      </c>
      <c r="C9" s="11">
        <v>58159782224</v>
      </c>
      <c r="D9" s="12">
        <v>44630</v>
      </c>
      <c r="E9" s="12">
        <v>44630</v>
      </c>
      <c r="F9" s="12"/>
      <c r="G9" s="13" t="s">
        <v>258</v>
      </c>
      <c r="H9" s="14" t="s">
        <v>259</v>
      </c>
      <c r="I9" s="14" t="s">
        <v>279</v>
      </c>
      <c r="J9" s="15">
        <v>288.83</v>
      </c>
      <c r="L9" s="29" t="s">
        <v>267</v>
      </c>
      <c r="M9" s="29" t="s">
        <v>775</v>
      </c>
      <c r="N9" s="30">
        <v>0</v>
      </c>
    </row>
    <row r="10" spans="1:14" ht="15.5">
      <c r="A10" s="9" t="s">
        <v>280</v>
      </c>
      <c r="B10" s="10" t="s">
        <v>281</v>
      </c>
      <c r="C10" s="11" t="s">
        <v>282</v>
      </c>
      <c r="D10" s="12">
        <v>38566</v>
      </c>
      <c r="E10" s="12">
        <v>44389</v>
      </c>
      <c r="F10" s="12">
        <v>38566</v>
      </c>
      <c r="G10" s="13" t="s">
        <v>258</v>
      </c>
      <c r="H10" s="14" t="s">
        <v>259</v>
      </c>
      <c r="I10" s="14" t="s">
        <v>279</v>
      </c>
      <c r="J10" s="15">
        <v>288.83</v>
      </c>
      <c r="L10" s="29" t="s">
        <v>289</v>
      </c>
      <c r="M10" s="29" t="s">
        <v>775</v>
      </c>
      <c r="N10" s="30">
        <v>226</v>
      </c>
    </row>
    <row r="11" spans="1:14" ht="15.5">
      <c r="A11" s="9" t="s">
        <v>283</v>
      </c>
      <c r="B11" s="10" t="s">
        <v>284</v>
      </c>
      <c r="C11" s="11" t="s">
        <v>285</v>
      </c>
      <c r="D11" s="12">
        <v>44455</v>
      </c>
      <c r="E11" s="12">
        <v>44455</v>
      </c>
      <c r="F11" s="12"/>
      <c r="G11" s="13" t="s">
        <v>258</v>
      </c>
      <c r="H11" s="14" t="s">
        <v>259</v>
      </c>
      <c r="I11" s="14" t="s">
        <v>279</v>
      </c>
      <c r="J11" s="15">
        <v>288.83</v>
      </c>
      <c r="L11" s="29" t="s">
        <v>292</v>
      </c>
      <c r="M11" s="29" t="s">
        <v>775</v>
      </c>
      <c r="N11" s="30">
        <v>509</v>
      </c>
    </row>
    <row r="12" spans="1:14" ht="15.5">
      <c r="A12" s="9" t="s">
        <v>286</v>
      </c>
      <c r="B12" s="10" t="s">
        <v>287</v>
      </c>
      <c r="C12" s="11">
        <v>64169571193</v>
      </c>
      <c r="D12" s="12">
        <v>44784</v>
      </c>
      <c r="E12" s="12">
        <v>44784</v>
      </c>
      <c r="F12" s="12"/>
      <c r="G12" s="13" t="s">
        <v>258</v>
      </c>
      <c r="H12" s="14" t="s">
        <v>259</v>
      </c>
      <c r="I12" s="14" t="s">
        <v>279</v>
      </c>
      <c r="J12" s="15">
        <v>288.83</v>
      </c>
      <c r="L12" s="29" t="s">
        <v>353</v>
      </c>
      <c r="M12" s="29" t="s">
        <v>775</v>
      </c>
      <c r="N12" s="30">
        <v>339</v>
      </c>
    </row>
    <row r="13" spans="1:14" ht="15.5">
      <c r="A13" s="9" t="s">
        <v>288</v>
      </c>
      <c r="B13" s="10" t="s">
        <v>289</v>
      </c>
      <c r="C13" s="11" t="s">
        <v>290</v>
      </c>
      <c r="D13" s="12">
        <v>44455</v>
      </c>
      <c r="E13" s="12">
        <v>44455</v>
      </c>
      <c r="F13" s="12"/>
      <c r="G13" s="13" t="s">
        <v>258</v>
      </c>
      <c r="H13" s="14" t="s">
        <v>259</v>
      </c>
      <c r="I13" s="14" t="s">
        <v>279</v>
      </c>
      <c r="J13" s="15">
        <v>288.83</v>
      </c>
      <c r="L13" s="29" t="s">
        <v>295</v>
      </c>
      <c r="M13" s="29" t="s">
        <v>775</v>
      </c>
      <c r="N13" s="30">
        <v>453</v>
      </c>
    </row>
    <row r="14" spans="1:14" ht="15.5">
      <c r="A14" s="9" t="s">
        <v>291</v>
      </c>
      <c r="B14" s="10" t="s">
        <v>292</v>
      </c>
      <c r="C14" s="11" t="s">
        <v>293</v>
      </c>
      <c r="D14" s="12">
        <v>42866</v>
      </c>
      <c r="E14" s="12">
        <v>44389</v>
      </c>
      <c r="F14" s="12">
        <v>42866</v>
      </c>
      <c r="G14" s="13" t="s">
        <v>258</v>
      </c>
      <c r="H14" s="14" t="s">
        <v>259</v>
      </c>
      <c r="I14" s="14" t="s">
        <v>279</v>
      </c>
      <c r="J14" s="15">
        <v>288.83</v>
      </c>
      <c r="L14" s="29" t="s">
        <v>298</v>
      </c>
      <c r="M14" s="29" t="s">
        <v>775</v>
      </c>
      <c r="N14" s="30">
        <v>340</v>
      </c>
    </row>
    <row r="15" spans="1:14" ht="15.5">
      <c r="A15" s="9" t="s">
        <v>294</v>
      </c>
      <c r="B15" s="10" t="s">
        <v>295</v>
      </c>
      <c r="C15" s="11" t="s">
        <v>296</v>
      </c>
      <c r="D15" s="12">
        <v>43123</v>
      </c>
      <c r="E15" s="12">
        <v>44389</v>
      </c>
      <c r="F15" s="12">
        <v>43123</v>
      </c>
      <c r="G15" s="13" t="s">
        <v>258</v>
      </c>
      <c r="H15" s="14" t="s">
        <v>259</v>
      </c>
      <c r="I15" s="14" t="s">
        <v>279</v>
      </c>
      <c r="J15" s="15">
        <v>288.83</v>
      </c>
      <c r="L15" s="29" t="s">
        <v>357</v>
      </c>
      <c r="M15" s="29" t="s">
        <v>775</v>
      </c>
      <c r="N15" s="30">
        <v>397</v>
      </c>
    </row>
    <row r="16" spans="1:14" ht="15.5">
      <c r="A16" s="9" t="s">
        <v>297</v>
      </c>
      <c r="B16" s="10" t="s">
        <v>298</v>
      </c>
      <c r="C16" s="11" t="s">
        <v>299</v>
      </c>
      <c r="D16" s="12">
        <v>41437</v>
      </c>
      <c r="E16" s="12">
        <v>44389</v>
      </c>
      <c r="F16" s="12">
        <v>41437</v>
      </c>
      <c r="G16" s="13" t="s">
        <v>258</v>
      </c>
      <c r="H16" s="14" t="s">
        <v>259</v>
      </c>
      <c r="I16" s="14" t="s">
        <v>279</v>
      </c>
      <c r="J16" s="15">
        <v>288.83</v>
      </c>
      <c r="L16" s="29" t="s">
        <v>300</v>
      </c>
      <c r="M16" s="29" t="s">
        <v>775</v>
      </c>
      <c r="N16" s="30">
        <v>0</v>
      </c>
    </row>
    <row r="17" spans="1:14" ht="15.5">
      <c r="A17" s="9">
        <v>2574</v>
      </c>
      <c r="B17" s="10" t="s">
        <v>300</v>
      </c>
      <c r="C17" s="11" t="s">
        <v>301</v>
      </c>
      <c r="D17" s="12">
        <v>45736</v>
      </c>
      <c r="E17" s="12">
        <v>45736</v>
      </c>
      <c r="F17" s="12"/>
      <c r="G17" s="13" t="s">
        <v>258</v>
      </c>
      <c r="H17" s="14" t="s">
        <v>259</v>
      </c>
      <c r="I17" s="14" t="s">
        <v>279</v>
      </c>
      <c r="J17" s="15">
        <v>288.83</v>
      </c>
      <c r="L17" s="29" t="s">
        <v>302</v>
      </c>
      <c r="M17" s="29" t="s">
        <v>775</v>
      </c>
      <c r="N17" s="30">
        <v>169</v>
      </c>
    </row>
    <row r="18" spans="1:14" ht="15.5">
      <c r="A18" s="9">
        <v>2102</v>
      </c>
      <c r="B18" s="10" t="s">
        <v>302</v>
      </c>
      <c r="C18" s="11" t="s">
        <v>303</v>
      </c>
      <c r="D18" s="12">
        <v>45988</v>
      </c>
      <c r="E18" s="12">
        <v>45988</v>
      </c>
      <c r="F18" s="12"/>
      <c r="G18" s="13" t="s">
        <v>258</v>
      </c>
      <c r="H18" s="14" t="s">
        <v>259</v>
      </c>
      <c r="I18" s="14" t="s">
        <v>279</v>
      </c>
      <c r="J18" s="15">
        <v>288.83</v>
      </c>
      <c r="L18" s="29" t="s">
        <v>270</v>
      </c>
      <c r="M18" s="29" t="s">
        <v>775</v>
      </c>
      <c r="N18" s="30">
        <v>113</v>
      </c>
    </row>
    <row r="19" spans="1:14" ht="15.5">
      <c r="A19" s="9" t="s">
        <v>304</v>
      </c>
      <c r="B19" s="10" t="s">
        <v>305</v>
      </c>
      <c r="C19" s="11" t="s">
        <v>306</v>
      </c>
      <c r="D19" s="12">
        <v>41646</v>
      </c>
      <c r="E19" s="12">
        <v>44389</v>
      </c>
      <c r="F19" s="12">
        <v>41646</v>
      </c>
      <c r="G19" s="13" t="s">
        <v>258</v>
      </c>
      <c r="H19" s="14" t="s">
        <v>259</v>
      </c>
      <c r="I19" s="14" t="s">
        <v>279</v>
      </c>
      <c r="J19" s="15">
        <v>288.83</v>
      </c>
      <c r="L19" s="29" t="s">
        <v>305</v>
      </c>
      <c r="M19" s="29" t="s">
        <v>775</v>
      </c>
      <c r="N19" s="30">
        <v>311</v>
      </c>
    </row>
    <row r="20" spans="1:14" ht="15.5">
      <c r="A20" s="9">
        <v>2508</v>
      </c>
      <c r="B20" s="10" t="s">
        <v>307</v>
      </c>
      <c r="C20" s="11" t="s">
        <v>308</v>
      </c>
      <c r="D20" s="12">
        <v>45666</v>
      </c>
      <c r="E20" s="12">
        <v>45666</v>
      </c>
      <c r="F20" s="12"/>
      <c r="G20" s="13" t="s">
        <v>258</v>
      </c>
      <c r="H20" s="14" t="s">
        <v>259</v>
      </c>
      <c r="I20" s="14" t="s">
        <v>279</v>
      </c>
      <c r="J20" s="15">
        <v>288.83</v>
      </c>
      <c r="L20" s="29" t="s">
        <v>360</v>
      </c>
      <c r="M20" s="29" t="s">
        <v>775</v>
      </c>
      <c r="N20" s="30">
        <v>339</v>
      </c>
    </row>
    <row r="21" spans="1:14" ht="15.5">
      <c r="A21" s="9" t="s">
        <v>309</v>
      </c>
      <c r="B21" s="10" t="s">
        <v>310</v>
      </c>
      <c r="C21" s="11" t="s">
        <v>311</v>
      </c>
      <c r="D21" s="12">
        <v>45414</v>
      </c>
      <c r="E21" s="12">
        <v>45414</v>
      </c>
      <c r="F21" s="12"/>
      <c r="G21" s="13" t="s">
        <v>258</v>
      </c>
      <c r="H21" s="14" t="s">
        <v>259</v>
      </c>
      <c r="I21" s="14" t="s">
        <v>279</v>
      </c>
      <c r="J21" s="15">
        <v>288.83</v>
      </c>
      <c r="L21" s="29" t="s">
        <v>307</v>
      </c>
      <c r="M21" s="29" t="s">
        <v>775</v>
      </c>
      <c r="N21" s="30">
        <v>0</v>
      </c>
    </row>
    <row r="22" spans="1:14" ht="15.5">
      <c r="A22" s="9">
        <v>2613</v>
      </c>
      <c r="B22" s="10" t="s">
        <v>312</v>
      </c>
      <c r="C22" s="11" t="s">
        <v>313</v>
      </c>
      <c r="D22" s="12">
        <v>45806</v>
      </c>
      <c r="E22" s="12">
        <v>45806</v>
      </c>
      <c r="F22" s="12"/>
      <c r="G22" s="13" t="s">
        <v>258</v>
      </c>
      <c r="H22" s="14" t="s">
        <v>259</v>
      </c>
      <c r="I22" s="14" t="s">
        <v>279</v>
      </c>
      <c r="J22" s="15">
        <v>288.83</v>
      </c>
      <c r="L22" s="29" t="s">
        <v>273</v>
      </c>
      <c r="M22" s="29" t="s">
        <v>775</v>
      </c>
      <c r="N22" s="30">
        <v>339</v>
      </c>
    </row>
    <row r="23" spans="1:14" ht="15.5">
      <c r="A23" s="9" t="s">
        <v>314</v>
      </c>
      <c r="B23" s="10" t="s">
        <v>315</v>
      </c>
      <c r="C23" s="11" t="s">
        <v>316</v>
      </c>
      <c r="D23" s="12">
        <v>41281</v>
      </c>
      <c r="E23" s="12">
        <v>44389</v>
      </c>
      <c r="F23" s="12">
        <v>41281</v>
      </c>
      <c r="G23" s="13" t="s">
        <v>258</v>
      </c>
      <c r="H23" s="14" t="s">
        <v>259</v>
      </c>
      <c r="I23" s="14" t="s">
        <v>279</v>
      </c>
      <c r="J23" s="15">
        <v>288.83</v>
      </c>
      <c r="L23" s="29" t="s">
        <v>310</v>
      </c>
      <c r="M23" s="29" t="s">
        <v>775</v>
      </c>
      <c r="N23" s="30">
        <v>311</v>
      </c>
    </row>
    <row r="24" spans="1:14" ht="15.5">
      <c r="A24" s="9" t="s">
        <v>317</v>
      </c>
      <c r="B24" s="10" t="s">
        <v>318</v>
      </c>
      <c r="C24" s="11" t="s">
        <v>319</v>
      </c>
      <c r="D24" s="12">
        <v>44567</v>
      </c>
      <c r="E24" s="12">
        <v>44567</v>
      </c>
      <c r="F24" s="12"/>
      <c r="G24" s="13" t="s">
        <v>258</v>
      </c>
      <c r="H24" s="14" t="s">
        <v>259</v>
      </c>
      <c r="I24" s="14" t="s">
        <v>279</v>
      </c>
      <c r="J24" s="15">
        <v>288.83</v>
      </c>
      <c r="L24" s="29" t="s">
        <v>312</v>
      </c>
      <c r="M24" s="29" t="s">
        <v>775</v>
      </c>
      <c r="N24" s="30">
        <v>339</v>
      </c>
    </row>
    <row r="25" spans="1:14" ht="15.5">
      <c r="A25" s="9" t="s">
        <v>320</v>
      </c>
      <c r="B25" s="10" t="s">
        <v>321</v>
      </c>
      <c r="C25" s="11" t="s">
        <v>322</v>
      </c>
      <c r="D25" s="12">
        <v>45386</v>
      </c>
      <c r="E25" s="12">
        <v>45386</v>
      </c>
      <c r="F25" s="12"/>
      <c r="G25" s="13" t="s">
        <v>258</v>
      </c>
      <c r="H25" s="14" t="s">
        <v>259</v>
      </c>
      <c r="I25" s="14" t="s">
        <v>279</v>
      </c>
      <c r="J25" s="15">
        <v>288.83</v>
      </c>
      <c r="L25" s="29" t="s">
        <v>362</v>
      </c>
      <c r="M25" s="29" t="s">
        <v>775</v>
      </c>
      <c r="N25" s="30">
        <v>226</v>
      </c>
    </row>
    <row r="26" spans="1:14" ht="15.5">
      <c r="A26" s="9" t="s">
        <v>323</v>
      </c>
      <c r="B26" s="10" t="s">
        <v>324</v>
      </c>
      <c r="C26" s="11">
        <v>72129317490</v>
      </c>
      <c r="D26" s="12">
        <v>44574</v>
      </c>
      <c r="E26" s="12">
        <v>44574</v>
      </c>
      <c r="F26" s="12"/>
      <c r="G26" s="13" t="s">
        <v>258</v>
      </c>
      <c r="H26" s="14" t="s">
        <v>259</v>
      </c>
      <c r="I26" s="14" t="s">
        <v>279</v>
      </c>
      <c r="J26" s="15">
        <v>288.83</v>
      </c>
      <c r="L26" s="29" t="s">
        <v>365</v>
      </c>
      <c r="M26" s="29" t="s">
        <v>775</v>
      </c>
      <c r="N26" s="30">
        <v>339</v>
      </c>
    </row>
    <row r="27" spans="1:14" ht="15.5">
      <c r="A27" s="9" t="s">
        <v>325</v>
      </c>
      <c r="B27" s="10" t="s">
        <v>326</v>
      </c>
      <c r="C27" s="11" t="s">
        <v>327</v>
      </c>
      <c r="D27" s="12">
        <v>44952</v>
      </c>
      <c r="E27" s="12">
        <v>44952</v>
      </c>
      <c r="F27" s="12"/>
      <c r="G27" s="13" t="s">
        <v>258</v>
      </c>
      <c r="H27" s="14" t="s">
        <v>259</v>
      </c>
      <c r="I27" s="14" t="s">
        <v>279</v>
      </c>
      <c r="J27" s="15">
        <v>288.83</v>
      </c>
      <c r="L27" s="29" t="s">
        <v>315</v>
      </c>
      <c r="M27" s="29" t="s">
        <v>775</v>
      </c>
      <c r="N27" s="30">
        <v>0</v>
      </c>
    </row>
    <row r="28" spans="1:14" ht="15.5">
      <c r="A28" s="9" t="s">
        <v>328</v>
      </c>
      <c r="B28" s="10" t="s">
        <v>329</v>
      </c>
      <c r="C28" s="11" t="s">
        <v>330</v>
      </c>
      <c r="D28" s="12">
        <v>42898</v>
      </c>
      <c r="E28" s="12">
        <v>44389</v>
      </c>
      <c r="F28" s="12">
        <v>42898</v>
      </c>
      <c r="G28" s="13" t="s">
        <v>258</v>
      </c>
      <c r="H28" s="14" t="s">
        <v>259</v>
      </c>
      <c r="I28" s="14" t="s">
        <v>279</v>
      </c>
      <c r="J28" s="15">
        <v>288.83</v>
      </c>
      <c r="L28" s="29" t="s">
        <v>318</v>
      </c>
      <c r="M28" s="29" t="s">
        <v>775</v>
      </c>
      <c r="N28" s="30">
        <v>311</v>
      </c>
    </row>
    <row r="29" spans="1:14" ht="15.5">
      <c r="A29" s="9" t="s">
        <v>331</v>
      </c>
      <c r="B29" s="10" t="s">
        <v>332</v>
      </c>
      <c r="C29" s="11">
        <v>10220228976</v>
      </c>
      <c r="D29" s="12">
        <v>44707</v>
      </c>
      <c r="E29" s="12">
        <v>44707</v>
      </c>
      <c r="F29" s="12"/>
      <c r="G29" s="13" t="s">
        <v>258</v>
      </c>
      <c r="H29" s="14" t="s">
        <v>259</v>
      </c>
      <c r="I29" s="14" t="s">
        <v>279</v>
      </c>
      <c r="J29" s="15">
        <v>288.83</v>
      </c>
      <c r="L29" s="29" t="s">
        <v>321</v>
      </c>
      <c r="M29" s="29" t="s">
        <v>775</v>
      </c>
      <c r="N29" s="30">
        <v>0</v>
      </c>
    </row>
    <row r="30" spans="1:14" ht="15.5">
      <c r="A30" s="9" t="s">
        <v>333</v>
      </c>
      <c r="B30" s="10" t="s">
        <v>334</v>
      </c>
      <c r="C30" s="11" t="s">
        <v>335</v>
      </c>
      <c r="D30" s="12">
        <v>41891</v>
      </c>
      <c r="E30" s="12">
        <v>44389</v>
      </c>
      <c r="F30" s="12">
        <v>41891</v>
      </c>
      <c r="G30" s="13" t="s">
        <v>258</v>
      </c>
      <c r="H30" s="14" t="s">
        <v>259</v>
      </c>
      <c r="I30" s="14" t="s">
        <v>279</v>
      </c>
      <c r="J30" s="15">
        <v>288.83</v>
      </c>
      <c r="L30" s="29" t="s">
        <v>367</v>
      </c>
      <c r="M30" s="29" t="s">
        <v>775</v>
      </c>
      <c r="N30" s="30">
        <v>424</v>
      </c>
    </row>
    <row r="31" spans="1:14" ht="15.5">
      <c r="A31" s="9" t="s">
        <v>336</v>
      </c>
      <c r="B31" s="10" t="s">
        <v>337</v>
      </c>
      <c r="C31" s="11" t="s">
        <v>338</v>
      </c>
      <c r="D31" s="12">
        <v>45582</v>
      </c>
      <c r="E31" s="12">
        <v>45582</v>
      </c>
      <c r="F31" s="12"/>
      <c r="G31" s="13" t="s">
        <v>258</v>
      </c>
      <c r="H31" s="14" t="s">
        <v>259</v>
      </c>
      <c r="I31" s="14" t="s">
        <v>279</v>
      </c>
      <c r="J31" s="15">
        <v>288.83</v>
      </c>
      <c r="L31" s="29" t="s">
        <v>776</v>
      </c>
      <c r="M31" s="29" t="s">
        <v>775</v>
      </c>
      <c r="N31" s="30">
        <v>311</v>
      </c>
    </row>
    <row r="32" spans="1:14" ht="15.5">
      <c r="A32" s="9" t="s">
        <v>339</v>
      </c>
      <c r="B32" s="10" t="s">
        <v>340</v>
      </c>
      <c r="C32" s="11">
        <v>44170369209</v>
      </c>
      <c r="D32" s="12">
        <v>45078</v>
      </c>
      <c r="E32" s="12">
        <v>45078</v>
      </c>
      <c r="F32" s="12"/>
      <c r="G32" s="13" t="s">
        <v>258</v>
      </c>
      <c r="H32" s="14" t="s">
        <v>259</v>
      </c>
      <c r="I32" s="14" t="s">
        <v>279</v>
      </c>
      <c r="J32" s="15">
        <v>288.83</v>
      </c>
      <c r="L32" s="29" t="s">
        <v>276</v>
      </c>
      <c r="M32" s="29" t="s">
        <v>775</v>
      </c>
      <c r="N32" s="30">
        <v>113</v>
      </c>
    </row>
    <row r="33" spans="1:14" ht="15.5">
      <c r="A33" s="9" t="s">
        <v>341</v>
      </c>
      <c r="B33" s="10" t="s">
        <v>342</v>
      </c>
      <c r="C33" s="11" t="s">
        <v>343</v>
      </c>
      <c r="D33" s="12">
        <v>39835</v>
      </c>
      <c r="E33" s="12">
        <v>44389</v>
      </c>
      <c r="F33" s="12">
        <v>39835</v>
      </c>
      <c r="G33" s="13" t="s">
        <v>258</v>
      </c>
      <c r="H33" s="14" t="s">
        <v>259</v>
      </c>
      <c r="I33" s="14" t="s">
        <v>279</v>
      </c>
      <c r="J33" s="15">
        <v>288.83</v>
      </c>
      <c r="L33" s="29" t="s">
        <v>370</v>
      </c>
      <c r="M33" s="29" t="s">
        <v>775</v>
      </c>
      <c r="N33" s="30">
        <v>226</v>
      </c>
    </row>
    <row r="34" spans="1:14" ht="15.5">
      <c r="A34" s="9" t="s">
        <v>344</v>
      </c>
      <c r="B34" s="10" t="s">
        <v>345</v>
      </c>
      <c r="C34" s="11" t="s">
        <v>346</v>
      </c>
      <c r="D34" s="12">
        <v>40582</v>
      </c>
      <c r="E34" s="12">
        <v>44389</v>
      </c>
      <c r="F34" s="12">
        <v>40582</v>
      </c>
      <c r="G34" s="13" t="s">
        <v>258</v>
      </c>
      <c r="H34" s="14" t="s">
        <v>259</v>
      </c>
      <c r="I34" s="14" t="s">
        <v>279</v>
      </c>
      <c r="J34" s="15">
        <v>288.83</v>
      </c>
      <c r="L34" s="29" t="s">
        <v>373</v>
      </c>
      <c r="M34" s="29" t="s">
        <v>775</v>
      </c>
      <c r="N34" s="30">
        <v>339</v>
      </c>
    </row>
    <row r="35" spans="1:14" ht="15.5">
      <c r="A35" s="60" t="s">
        <v>347</v>
      </c>
      <c r="B35" s="10" t="s">
        <v>348</v>
      </c>
      <c r="C35" s="11" t="s">
        <v>349</v>
      </c>
      <c r="D35" s="12">
        <v>45260</v>
      </c>
      <c r="E35" s="12">
        <v>45260</v>
      </c>
      <c r="F35" s="12"/>
      <c r="G35" s="13" t="s">
        <v>258</v>
      </c>
      <c r="H35" s="14" t="s">
        <v>259</v>
      </c>
      <c r="I35" s="14" t="s">
        <v>279</v>
      </c>
      <c r="J35" s="15">
        <v>288.83</v>
      </c>
      <c r="L35" s="29" t="s">
        <v>326</v>
      </c>
      <c r="M35" s="29" t="s">
        <v>775</v>
      </c>
      <c r="N35" s="30">
        <v>0</v>
      </c>
    </row>
    <row r="36" spans="1:14" ht="15.5">
      <c r="A36" s="9" t="s">
        <v>350</v>
      </c>
      <c r="B36" s="10" t="s">
        <v>351</v>
      </c>
      <c r="C36" s="11">
        <v>23998472684</v>
      </c>
      <c r="D36" s="12">
        <v>44511</v>
      </c>
      <c r="E36" s="12">
        <v>44511</v>
      </c>
      <c r="F36" s="12"/>
      <c r="G36" s="13" t="s">
        <v>258</v>
      </c>
      <c r="H36" s="14" t="s">
        <v>259</v>
      </c>
      <c r="I36" s="14" t="s">
        <v>279</v>
      </c>
      <c r="J36" s="15">
        <v>288.83</v>
      </c>
      <c r="L36" s="29" t="s">
        <v>329</v>
      </c>
      <c r="M36" s="29" t="s">
        <v>775</v>
      </c>
      <c r="N36" s="30">
        <v>226</v>
      </c>
    </row>
    <row r="37" spans="1:14" ht="15.5">
      <c r="A37" s="9" t="s">
        <v>352</v>
      </c>
      <c r="B37" s="10" t="s">
        <v>353</v>
      </c>
      <c r="C37" s="11" t="s">
        <v>354</v>
      </c>
      <c r="D37" s="12">
        <v>45022</v>
      </c>
      <c r="E37" s="12">
        <v>45022</v>
      </c>
      <c r="F37" s="12"/>
      <c r="G37" s="13" t="s">
        <v>258</v>
      </c>
      <c r="H37" s="14" t="s">
        <v>259</v>
      </c>
      <c r="I37" s="14" t="s">
        <v>355</v>
      </c>
      <c r="J37" s="15">
        <v>289.24</v>
      </c>
      <c r="L37" s="29" t="s">
        <v>332</v>
      </c>
      <c r="M37" s="29" t="s">
        <v>775</v>
      </c>
      <c r="N37" s="30">
        <v>339</v>
      </c>
    </row>
    <row r="38" spans="1:14" ht="15.5">
      <c r="A38" s="9" t="s">
        <v>356</v>
      </c>
      <c r="B38" s="10" t="s">
        <v>357</v>
      </c>
      <c r="C38" s="11" t="s">
        <v>358</v>
      </c>
      <c r="D38" s="16">
        <v>41914</v>
      </c>
      <c r="E38" s="12">
        <v>44389</v>
      </c>
      <c r="F38" s="12">
        <v>41913</v>
      </c>
      <c r="G38" s="13" t="s">
        <v>258</v>
      </c>
      <c r="H38" s="14" t="s">
        <v>259</v>
      </c>
      <c r="I38" s="14" t="s">
        <v>355</v>
      </c>
      <c r="J38" s="15">
        <v>289.24</v>
      </c>
      <c r="L38" s="29" t="s">
        <v>334</v>
      </c>
      <c r="M38" s="29" t="s">
        <v>775</v>
      </c>
      <c r="N38" s="30">
        <v>226</v>
      </c>
    </row>
    <row r="39" spans="1:14" ht="15.5">
      <c r="A39" s="9" t="s">
        <v>359</v>
      </c>
      <c r="B39" s="10" t="s">
        <v>360</v>
      </c>
      <c r="C39" s="11">
        <v>19200414985</v>
      </c>
      <c r="D39" s="12">
        <v>44966</v>
      </c>
      <c r="E39" s="12">
        <v>44966</v>
      </c>
      <c r="F39" s="12"/>
      <c r="G39" s="13" t="s">
        <v>258</v>
      </c>
      <c r="H39" s="14" t="s">
        <v>259</v>
      </c>
      <c r="I39" s="14" t="s">
        <v>355</v>
      </c>
      <c r="J39" s="15">
        <v>289.24</v>
      </c>
      <c r="L39" s="29" t="s">
        <v>337</v>
      </c>
      <c r="M39" s="29" t="s">
        <v>775</v>
      </c>
      <c r="N39" s="30">
        <v>311</v>
      </c>
    </row>
    <row r="40" spans="1:14" ht="15.5">
      <c r="A40" s="9" t="s">
        <v>361</v>
      </c>
      <c r="B40" s="10" t="s">
        <v>362</v>
      </c>
      <c r="C40" s="11" t="s">
        <v>363</v>
      </c>
      <c r="D40" s="16">
        <v>44390</v>
      </c>
      <c r="E40" s="12">
        <v>44389</v>
      </c>
      <c r="F40" s="12"/>
      <c r="G40" s="13" t="s">
        <v>258</v>
      </c>
      <c r="H40" s="14" t="s">
        <v>259</v>
      </c>
      <c r="I40" s="14" t="s">
        <v>355</v>
      </c>
      <c r="J40" s="15">
        <v>289.24</v>
      </c>
      <c r="L40" s="29" t="s">
        <v>340</v>
      </c>
      <c r="M40" s="29" t="s">
        <v>775</v>
      </c>
      <c r="N40" s="30">
        <v>339</v>
      </c>
    </row>
    <row r="41" spans="1:14" ht="15.5">
      <c r="A41" s="9" t="s">
        <v>364</v>
      </c>
      <c r="B41" s="10" t="s">
        <v>365</v>
      </c>
      <c r="C41" s="11">
        <v>72129305453</v>
      </c>
      <c r="D41" s="12">
        <v>44623</v>
      </c>
      <c r="E41" s="12">
        <v>44623</v>
      </c>
      <c r="F41" s="12"/>
      <c r="G41" s="13" t="s">
        <v>258</v>
      </c>
      <c r="H41" s="14" t="s">
        <v>259</v>
      </c>
      <c r="I41" s="14" t="s">
        <v>355</v>
      </c>
      <c r="J41" s="15">
        <v>289.24</v>
      </c>
      <c r="L41" s="29" t="s">
        <v>342</v>
      </c>
      <c r="M41" s="29" t="s">
        <v>775</v>
      </c>
      <c r="N41" s="30">
        <v>509</v>
      </c>
    </row>
    <row r="42" spans="1:14" ht="15.5">
      <c r="A42" s="9" t="s">
        <v>366</v>
      </c>
      <c r="B42" s="10" t="s">
        <v>367</v>
      </c>
      <c r="C42" s="11" t="s">
        <v>368</v>
      </c>
      <c r="D42" s="12">
        <v>41282</v>
      </c>
      <c r="E42" s="12">
        <v>44389</v>
      </c>
      <c r="F42" s="12">
        <v>41282</v>
      </c>
      <c r="G42" s="13" t="s">
        <v>258</v>
      </c>
      <c r="H42" s="14" t="s">
        <v>259</v>
      </c>
      <c r="I42" s="14" t="s">
        <v>355</v>
      </c>
      <c r="J42" s="15">
        <v>289.24</v>
      </c>
      <c r="L42" s="29" t="s">
        <v>345</v>
      </c>
      <c r="M42" s="29" t="s">
        <v>775</v>
      </c>
      <c r="N42" s="30">
        <v>424</v>
      </c>
    </row>
    <row r="43" spans="1:14" ht="15.5">
      <c r="A43" s="9" t="s">
        <v>369</v>
      </c>
      <c r="B43" s="10" t="s">
        <v>370</v>
      </c>
      <c r="C43" s="11" t="s">
        <v>371</v>
      </c>
      <c r="D43" s="17">
        <v>37414</v>
      </c>
      <c r="E43" s="12">
        <v>44389</v>
      </c>
      <c r="F43" s="12">
        <v>37414</v>
      </c>
      <c r="G43" s="13" t="s">
        <v>258</v>
      </c>
      <c r="H43" s="14" t="s">
        <v>259</v>
      </c>
      <c r="I43" s="14" t="s">
        <v>355</v>
      </c>
      <c r="J43" s="15">
        <v>289.24</v>
      </c>
      <c r="L43" s="29" t="s">
        <v>348</v>
      </c>
      <c r="M43" s="29" t="s">
        <v>775</v>
      </c>
      <c r="N43" s="30">
        <v>0</v>
      </c>
    </row>
    <row r="44" spans="1:14" ht="15.5">
      <c r="A44" s="9" t="s">
        <v>372</v>
      </c>
      <c r="B44" s="10" t="s">
        <v>373</v>
      </c>
      <c r="C44" s="11" t="s">
        <v>374</v>
      </c>
      <c r="D44" s="12">
        <v>44096</v>
      </c>
      <c r="E44" s="12">
        <v>44389</v>
      </c>
      <c r="F44" s="12">
        <v>44096</v>
      </c>
      <c r="G44" s="13" t="s">
        <v>258</v>
      </c>
      <c r="H44" s="14" t="s">
        <v>259</v>
      </c>
      <c r="I44" s="14" t="s">
        <v>355</v>
      </c>
      <c r="J44" s="15">
        <v>289.24</v>
      </c>
      <c r="L44" s="29" t="s">
        <v>376</v>
      </c>
      <c r="M44" s="29" t="s">
        <v>775</v>
      </c>
      <c r="N44" s="30">
        <v>397</v>
      </c>
    </row>
    <row r="45" spans="1:14" ht="15.5">
      <c r="A45" s="60" t="s">
        <v>375</v>
      </c>
      <c r="B45" s="10" t="s">
        <v>376</v>
      </c>
      <c r="C45" s="11" t="s">
        <v>377</v>
      </c>
      <c r="D45" s="12">
        <v>40812</v>
      </c>
      <c r="E45" s="12">
        <v>44389</v>
      </c>
      <c r="F45" s="12">
        <v>40812</v>
      </c>
      <c r="G45" s="13" t="s">
        <v>258</v>
      </c>
      <c r="H45" s="14" t="s">
        <v>259</v>
      </c>
      <c r="I45" s="14" t="s">
        <v>355</v>
      </c>
      <c r="J45" s="15">
        <v>289.24</v>
      </c>
      <c r="L45" s="29" t="s">
        <v>379</v>
      </c>
      <c r="M45" s="29" t="s">
        <v>775</v>
      </c>
      <c r="N45" s="30">
        <v>226</v>
      </c>
    </row>
    <row r="46" spans="1:14" ht="15.5">
      <c r="A46" s="60" t="s">
        <v>378</v>
      </c>
      <c r="B46" s="10" t="s">
        <v>379</v>
      </c>
      <c r="C46" s="11" t="s">
        <v>380</v>
      </c>
      <c r="D46" s="12">
        <v>45113</v>
      </c>
      <c r="E46" s="12">
        <v>45113</v>
      </c>
      <c r="F46" s="12"/>
      <c r="G46" s="13" t="s">
        <v>258</v>
      </c>
      <c r="H46" s="14" t="s">
        <v>259</v>
      </c>
      <c r="I46" s="14" t="s">
        <v>355</v>
      </c>
      <c r="J46" s="15">
        <v>289.24</v>
      </c>
      <c r="L46" s="29" t="s">
        <v>351</v>
      </c>
      <c r="M46" s="29" t="s">
        <v>775</v>
      </c>
      <c r="N46" s="30">
        <v>424</v>
      </c>
    </row>
    <row r="47" spans="1:14" ht="15.5">
      <c r="A47" s="9">
        <v>2394</v>
      </c>
      <c r="B47" s="10" t="s">
        <v>381</v>
      </c>
      <c r="C47" s="11" t="s">
        <v>382</v>
      </c>
      <c r="D47" s="12">
        <v>38559</v>
      </c>
      <c r="E47" s="12">
        <v>44389</v>
      </c>
      <c r="F47" s="12">
        <v>38559</v>
      </c>
      <c r="G47" s="13" t="s">
        <v>258</v>
      </c>
      <c r="H47" s="14" t="s">
        <v>383</v>
      </c>
      <c r="I47" s="14" t="s">
        <v>83</v>
      </c>
      <c r="J47" s="15">
        <v>280</v>
      </c>
      <c r="L47" s="29" t="s">
        <v>399</v>
      </c>
      <c r="M47" s="29" t="s">
        <v>777</v>
      </c>
      <c r="N47" s="30">
        <v>424</v>
      </c>
    </row>
    <row r="48" spans="1:14" ht="15.5">
      <c r="A48" s="9" t="s">
        <v>384</v>
      </c>
      <c r="B48" s="10" t="s">
        <v>385</v>
      </c>
      <c r="C48" s="11" t="s">
        <v>386</v>
      </c>
      <c r="D48" s="12">
        <v>44889</v>
      </c>
      <c r="E48" s="12">
        <v>44889</v>
      </c>
      <c r="F48" s="12"/>
      <c r="G48" s="13" t="s">
        <v>258</v>
      </c>
      <c r="H48" s="14" t="s">
        <v>383</v>
      </c>
      <c r="I48" s="14" t="s">
        <v>83</v>
      </c>
      <c r="J48" s="15">
        <v>280</v>
      </c>
      <c r="L48" s="29" t="s">
        <v>402</v>
      </c>
      <c r="M48" s="29" t="s">
        <v>777</v>
      </c>
      <c r="N48" s="30">
        <v>0</v>
      </c>
    </row>
    <row r="49" spans="1:14" ht="15.5">
      <c r="A49" s="9" t="s">
        <v>387</v>
      </c>
      <c r="B49" s="10" t="s">
        <v>388</v>
      </c>
      <c r="C49" s="11" t="s">
        <v>389</v>
      </c>
      <c r="D49" s="12">
        <v>45232</v>
      </c>
      <c r="E49" s="12">
        <v>45232</v>
      </c>
      <c r="F49" s="12"/>
      <c r="G49" s="13" t="s">
        <v>258</v>
      </c>
      <c r="H49" s="14" t="s">
        <v>383</v>
      </c>
      <c r="I49" s="14" t="s">
        <v>83</v>
      </c>
      <c r="J49" s="15">
        <v>280</v>
      </c>
      <c r="L49" s="29" t="s">
        <v>404</v>
      </c>
      <c r="M49" s="29" t="s">
        <v>777</v>
      </c>
      <c r="N49" s="30">
        <v>453</v>
      </c>
    </row>
    <row r="50" spans="1:14" ht="15.5">
      <c r="A50" s="9" t="s">
        <v>390</v>
      </c>
      <c r="B50" s="10" t="s">
        <v>391</v>
      </c>
      <c r="C50" s="11" t="s">
        <v>392</v>
      </c>
      <c r="D50" s="12">
        <v>44840</v>
      </c>
      <c r="E50" s="12">
        <v>44840</v>
      </c>
      <c r="F50" s="12"/>
      <c r="G50" s="13" t="s">
        <v>258</v>
      </c>
      <c r="H50" s="14" t="s">
        <v>383</v>
      </c>
      <c r="I50" s="14" t="s">
        <v>83</v>
      </c>
      <c r="J50" s="15">
        <v>280</v>
      </c>
      <c r="L50" s="29" t="s">
        <v>407</v>
      </c>
      <c r="M50" s="29" t="s">
        <v>777</v>
      </c>
      <c r="N50" s="30">
        <v>0</v>
      </c>
    </row>
    <row r="51" spans="1:14" ht="15.5">
      <c r="A51" s="9" t="s">
        <v>393</v>
      </c>
      <c r="B51" s="10" t="s">
        <v>394</v>
      </c>
      <c r="C51" s="11" t="s">
        <v>395</v>
      </c>
      <c r="D51" s="12">
        <v>45204</v>
      </c>
      <c r="E51" s="12">
        <v>45204</v>
      </c>
      <c r="F51" s="12"/>
      <c r="G51" s="13" t="s">
        <v>258</v>
      </c>
      <c r="H51" s="14" t="s">
        <v>383</v>
      </c>
      <c r="I51" s="14" t="s">
        <v>83</v>
      </c>
      <c r="J51" s="15">
        <v>280</v>
      </c>
      <c r="L51" s="29" t="s">
        <v>410</v>
      </c>
      <c r="M51" s="29" t="s">
        <v>777</v>
      </c>
      <c r="N51" s="30">
        <v>0</v>
      </c>
    </row>
    <row r="52" spans="1:14" ht="15.5">
      <c r="A52" s="9">
        <v>2538</v>
      </c>
      <c r="B52" s="10" t="s">
        <v>396</v>
      </c>
      <c r="C52" s="11" t="s">
        <v>397</v>
      </c>
      <c r="D52" s="12">
        <v>45701</v>
      </c>
      <c r="E52" s="12">
        <v>45701</v>
      </c>
      <c r="F52" s="12"/>
      <c r="G52" s="13" t="s">
        <v>258</v>
      </c>
      <c r="H52" s="14" t="s">
        <v>383</v>
      </c>
      <c r="I52" s="14" t="s">
        <v>83</v>
      </c>
      <c r="J52" s="15">
        <v>280</v>
      </c>
      <c r="L52" s="29" t="s">
        <v>385</v>
      </c>
      <c r="M52" s="29" t="s">
        <v>777</v>
      </c>
      <c r="N52" s="30">
        <v>0</v>
      </c>
    </row>
    <row r="53" spans="1:14" ht="15.5">
      <c r="A53" s="9" t="s">
        <v>398</v>
      </c>
      <c r="B53" s="10" t="s">
        <v>399</v>
      </c>
      <c r="C53" s="11" t="s">
        <v>400</v>
      </c>
      <c r="D53" s="12">
        <v>42317</v>
      </c>
      <c r="E53" s="12">
        <v>44389</v>
      </c>
      <c r="F53" s="12">
        <v>42317</v>
      </c>
      <c r="G53" s="13" t="s">
        <v>258</v>
      </c>
      <c r="H53" s="14" t="s">
        <v>383</v>
      </c>
      <c r="I53" s="14" t="s">
        <v>279</v>
      </c>
      <c r="J53" s="15">
        <v>288.83</v>
      </c>
      <c r="L53" s="29" t="s">
        <v>413</v>
      </c>
      <c r="M53" s="29" t="s">
        <v>777</v>
      </c>
      <c r="N53" s="30">
        <v>0</v>
      </c>
    </row>
    <row r="54" spans="1:14" ht="15.5">
      <c r="A54" s="9" t="s">
        <v>401</v>
      </c>
      <c r="B54" s="10" t="s">
        <v>402</v>
      </c>
      <c r="C54" s="11" t="s">
        <v>354</v>
      </c>
      <c r="D54" s="12">
        <v>45022</v>
      </c>
      <c r="E54" s="12">
        <v>45022</v>
      </c>
      <c r="F54" s="12"/>
      <c r="G54" s="13" t="s">
        <v>258</v>
      </c>
      <c r="H54" s="14" t="s">
        <v>383</v>
      </c>
      <c r="I54" s="14" t="s">
        <v>279</v>
      </c>
      <c r="J54" s="15">
        <v>288.83</v>
      </c>
      <c r="L54" s="29" t="s">
        <v>415</v>
      </c>
      <c r="M54" s="29" t="s">
        <v>777</v>
      </c>
      <c r="N54" s="30">
        <v>424</v>
      </c>
    </row>
    <row r="55" spans="1:14" ht="15.5">
      <c r="A55" s="9" t="s">
        <v>403</v>
      </c>
      <c r="B55" s="10" t="s">
        <v>404</v>
      </c>
      <c r="C55" s="11" t="s">
        <v>405</v>
      </c>
      <c r="D55" s="12">
        <v>42758</v>
      </c>
      <c r="E55" s="12">
        <v>44389</v>
      </c>
      <c r="F55" s="12">
        <v>42758</v>
      </c>
      <c r="G55" s="13" t="s">
        <v>258</v>
      </c>
      <c r="H55" s="14" t="s">
        <v>383</v>
      </c>
      <c r="I55" s="14" t="s">
        <v>279</v>
      </c>
      <c r="J55" s="15">
        <v>288.83</v>
      </c>
      <c r="L55" s="29" t="s">
        <v>417</v>
      </c>
      <c r="M55" s="29" t="s">
        <v>777</v>
      </c>
      <c r="N55" s="30">
        <v>509</v>
      </c>
    </row>
    <row r="56" spans="1:14" ht="15.5">
      <c r="A56" s="9" t="s">
        <v>406</v>
      </c>
      <c r="B56" s="10" t="s">
        <v>407</v>
      </c>
      <c r="C56" s="11" t="s">
        <v>408</v>
      </c>
      <c r="D56" s="12">
        <v>44973</v>
      </c>
      <c r="E56" s="12">
        <v>44973</v>
      </c>
      <c r="F56" s="12"/>
      <c r="G56" s="13" t="s">
        <v>258</v>
      </c>
      <c r="H56" s="14" t="s">
        <v>383</v>
      </c>
      <c r="I56" s="14" t="s">
        <v>279</v>
      </c>
      <c r="J56" s="15">
        <v>288.83</v>
      </c>
      <c r="L56" s="29" t="s">
        <v>442</v>
      </c>
      <c r="M56" s="29" t="s">
        <v>777</v>
      </c>
      <c r="N56" s="30">
        <v>0</v>
      </c>
    </row>
    <row r="57" spans="1:14" ht="15.5">
      <c r="A57" s="9" t="s">
        <v>409</v>
      </c>
      <c r="B57" s="10" t="s">
        <v>410</v>
      </c>
      <c r="C57" s="11" t="s">
        <v>411</v>
      </c>
      <c r="D57" s="12">
        <v>44389</v>
      </c>
      <c r="E57" s="12">
        <v>44389</v>
      </c>
      <c r="F57" s="12"/>
      <c r="G57" s="13" t="s">
        <v>258</v>
      </c>
      <c r="H57" s="14" t="s">
        <v>383</v>
      </c>
      <c r="I57" s="14" t="s">
        <v>279</v>
      </c>
      <c r="J57" s="15">
        <v>288.83</v>
      </c>
      <c r="L57" s="29" t="s">
        <v>444</v>
      </c>
      <c r="M57" s="29" t="s">
        <v>777</v>
      </c>
      <c r="N57" s="30">
        <v>0</v>
      </c>
    </row>
    <row r="58" spans="1:14" ht="15.5">
      <c r="A58" s="9" t="s">
        <v>412</v>
      </c>
      <c r="B58" s="10" t="s">
        <v>413</v>
      </c>
      <c r="C58" s="11">
        <v>49179999161</v>
      </c>
      <c r="D58" s="12">
        <v>45316</v>
      </c>
      <c r="E58" s="12">
        <v>45316</v>
      </c>
      <c r="F58" s="12"/>
      <c r="G58" s="13" t="s">
        <v>258</v>
      </c>
      <c r="H58" s="14" t="s">
        <v>383</v>
      </c>
      <c r="I58" s="14" t="s">
        <v>279</v>
      </c>
      <c r="J58" s="15">
        <v>288.83</v>
      </c>
      <c r="L58" s="29" t="s">
        <v>419</v>
      </c>
      <c r="M58" s="29" t="s">
        <v>777</v>
      </c>
      <c r="N58" s="30">
        <v>339</v>
      </c>
    </row>
    <row r="59" spans="1:14" ht="15.5">
      <c r="A59" s="9" t="s">
        <v>414</v>
      </c>
      <c r="B59" s="10" t="s">
        <v>415</v>
      </c>
      <c r="C59" s="11">
        <v>72098402968</v>
      </c>
      <c r="D59" s="12">
        <v>44840</v>
      </c>
      <c r="E59" s="12">
        <v>44840</v>
      </c>
      <c r="F59" s="12"/>
      <c r="G59" s="13" t="s">
        <v>258</v>
      </c>
      <c r="H59" s="14" t="s">
        <v>383</v>
      </c>
      <c r="I59" s="14" t="s">
        <v>279</v>
      </c>
      <c r="J59" s="15">
        <v>288.83</v>
      </c>
      <c r="L59" s="29" t="s">
        <v>388</v>
      </c>
      <c r="M59" s="29" t="s">
        <v>777</v>
      </c>
      <c r="N59" s="30">
        <v>226</v>
      </c>
    </row>
    <row r="60" spans="1:14" ht="15.5">
      <c r="A60" s="9" t="s">
        <v>416</v>
      </c>
      <c r="B60" s="10" t="s">
        <v>417</v>
      </c>
      <c r="C60" s="11" t="s">
        <v>418</v>
      </c>
      <c r="D60" s="12">
        <v>38069</v>
      </c>
      <c r="E60" s="12">
        <v>44389</v>
      </c>
      <c r="F60" s="12">
        <v>38069</v>
      </c>
      <c r="G60" s="13" t="s">
        <v>258</v>
      </c>
      <c r="H60" s="14" t="s">
        <v>383</v>
      </c>
      <c r="I60" s="14" t="s">
        <v>279</v>
      </c>
      <c r="J60" s="15">
        <v>288.83</v>
      </c>
      <c r="L60" s="29" t="s">
        <v>391</v>
      </c>
      <c r="M60" s="29" t="s">
        <v>777</v>
      </c>
      <c r="N60" s="30">
        <v>311</v>
      </c>
    </row>
    <row r="61" spans="1:14" ht="15.5">
      <c r="A61" s="9">
        <v>2555</v>
      </c>
      <c r="B61" s="10" t="s">
        <v>419</v>
      </c>
      <c r="C61" s="11">
        <v>18210175180</v>
      </c>
      <c r="D61" s="12">
        <v>45722</v>
      </c>
      <c r="E61" s="12">
        <v>45722</v>
      </c>
      <c r="F61" s="12"/>
      <c r="G61" s="13" t="s">
        <v>258</v>
      </c>
      <c r="H61" s="14" t="s">
        <v>383</v>
      </c>
      <c r="I61" s="14" t="s">
        <v>279</v>
      </c>
      <c r="J61" s="15">
        <v>288.83</v>
      </c>
      <c r="L61" s="29" t="s">
        <v>421</v>
      </c>
      <c r="M61" s="29" t="s">
        <v>777</v>
      </c>
      <c r="N61" s="30">
        <v>0</v>
      </c>
    </row>
    <row r="62" spans="1:14" ht="15.5">
      <c r="A62" s="9" t="s">
        <v>420</v>
      </c>
      <c r="B62" s="10" t="s">
        <v>421</v>
      </c>
      <c r="C62" s="11" t="s">
        <v>422</v>
      </c>
      <c r="D62" s="12">
        <v>44389</v>
      </c>
      <c r="E62" s="12">
        <v>44389</v>
      </c>
      <c r="F62" s="12"/>
      <c r="G62" s="13" t="s">
        <v>258</v>
      </c>
      <c r="H62" s="14" t="s">
        <v>383</v>
      </c>
      <c r="I62" s="14" t="s">
        <v>279</v>
      </c>
      <c r="J62" s="15">
        <v>288.83</v>
      </c>
      <c r="L62" s="29" t="s">
        <v>424</v>
      </c>
      <c r="M62" s="29" t="s">
        <v>777</v>
      </c>
      <c r="N62" s="30">
        <v>0</v>
      </c>
    </row>
    <row r="63" spans="1:14" ht="15.5">
      <c r="A63" s="9" t="s">
        <v>423</v>
      </c>
      <c r="B63" s="10" t="s">
        <v>424</v>
      </c>
      <c r="C63" s="11">
        <v>72018514710</v>
      </c>
      <c r="D63" s="12">
        <v>43227</v>
      </c>
      <c r="E63" s="12">
        <v>44389</v>
      </c>
      <c r="F63" s="12">
        <v>43227</v>
      </c>
      <c r="G63" s="13" t="s">
        <v>258</v>
      </c>
      <c r="H63" s="14" t="s">
        <v>383</v>
      </c>
      <c r="I63" s="14" t="s">
        <v>279</v>
      </c>
      <c r="J63" s="15">
        <v>288.83</v>
      </c>
      <c r="L63" s="29" t="s">
        <v>426</v>
      </c>
      <c r="M63" s="29" t="s">
        <v>777</v>
      </c>
      <c r="N63" s="30">
        <v>0</v>
      </c>
    </row>
    <row r="64" spans="1:14" ht="15.5">
      <c r="A64" s="9" t="s">
        <v>425</v>
      </c>
      <c r="B64" s="10" t="s">
        <v>426</v>
      </c>
      <c r="C64" s="11" t="s">
        <v>427</v>
      </c>
      <c r="D64" s="12">
        <v>45379</v>
      </c>
      <c r="E64" s="12">
        <v>45379</v>
      </c>
      <c r="F64" s="12"/>
      <c r="G64" s="13" t="s">
        <v>258</v>
      </c>
      <c r="H64" s="14" t="s">
        <v>383</v>
      </c>
      <c r="I64" s="14" t="s">
        <v>279</v>
      </c>
      <c r="J64" s="15">
        <v>288.83</v>
      </c>
      <c r="L64" s="29" t="s">
        <v>394</v>
      </c>
      <c r="M64" s="29" t="s">
        <v>777</v>
      </c>
      <c r="N64" s="30">
        <v>509</v>
      </c>
    </row>
    <row r="65" spans="1:14" ht="15.5">
      <c r="A65" s="9" t="s">
        <v>428</v>
      </c>
      <c r="B65" s="10" t="s">
        <v>429</v>
      </c>
      <c r="C65" s="11">
        <v>15038607162</v>
      </c>
      <c r="D65" s="12">
        <v>44840</v>
      </c>
      <c r="E65" s="12">
        <v>44840</v>
      </c>
      <c r="F65" s="12"/>
      <c r="G65" s="13" t="s">
        <v>258</v>
      </c>
      <c r="H65" s="14" t="s">
        <v>383</v>
      </c>
      <c r="I65" s="14" t="s">
        <v>279</v>
      </c>
      <c r="J65" s="15">
        <v>288.83</v>
      </c>
      <c r="L65" s="29" t="s">
        <v>447</v>
      </c>
      <c r="M65" s="29" t="s">
        <v>777</v>
      </c>
      <c r="N65" s="30">
        <v>340</v>
      </c>
    </row>
    <row r="66" spans="1:14" ht="15.5">
      <c r="A66" s="9">
        <v>2521</v>
      </c>
      <c r="B66" s="10" t="s">
        <v>430</v>
      </c>
      <c r="C66" s="11" t="s">
        <v>431</v>
      </c>
      <c r="D66" s="12">
        <v>45680</v>
      </c>
      <c r="E66" s="12">
        <v>45680</v>
      </c>
      <c r="F66" s="12"/>
      <c r="G66" s="13" t="s">
        <v>258</v>
      </c>
      <c r="H66" s="14" t="s">
        <v>383</v>
      </c>
      <c r="I66" s="14" t="s">
        <v>279</v>
      </c>
      <c r="J66" s="15">
        <v>288.83</v>
      </c>
      <c r="L66" s="29" t="s">
        <v>396</v>
      </c>
      <c r="M66" s="29" t="s">
        <v>777</v>
      </c>
      <c r="N66" s="30">
        <v>424</v>
      </c>
    </row>
    <row r="67" spans="1:14" ht="15.5">
      <c r="A67" s="9" t="s">
        <v>432</v>
      </c>
      <c r="B67" s="10" t="s">
        <v>433</v>
      </c>
      <c r="C67" s="11" t="s">
        <v>434</v>
      </c>
      <c r="D67" s="12">
        <v>41178</v>
      </c>
      <c r="E67" s="12">
        <v>44389</v>
      </c>
      <c r="F67" s="12">
        <v>41178</v>
      </c>
      <c r="G67" s="13" t="s">
        <v>258</v>
      </c>
      <c r="H67" s="14" t="s">
        <v>383</v>
      </c>
      <c r="I67" s="14" t="s">
        <v>279</v>
      </c>
      <c r="J67" s="15">
        <v>288.83</v>
      </c>
      <c r="L67" s="29" t="s">
        <v>429</v>
      </c>
      <c r="M67" s="29" t="s">
        <v>777</v>
      </c>
      <c r="N67" s="30">
        <v>340</v>
      </c>
    </row>
    <row r="68" spans="1:14" ht="15.5">
      <c r="A68" s="9" t="s">
        <v>435</v>
      </c>
      <c r="B68" s="10" t="s">
        <v>436</v>
      </c>
      <c r="C68" s="11" t="s">
        <v>437</v>
      </c>
      <c r="D68" s="12">
        <v>45393</v>
      </c>
      <c r="E68" s="12">
        <v>45393</v>
      </c>
      <c r="F68" s="12"/>
      <c r="G68" s="13" t="s">
        <v>258</v>
      </c>
      <c r="H68" s="14" t="s">
        <v>383</v>
      </c>
      <c r="I68" s="14" t="s">
        <v>279</v>
      </c>
      <c r="J68" s="15">
        <v>288.83</v>
      </c>
      <c r="L68" s="29" t="s">
        <v>430</v>
      </c>
      <c r="M68" s="29" t="s">
        <v>777</v>
      </c>
      <c r="N68" s="30">
        <v>0</v>
      </c>
    </row>
    <row r="69" spans="1:14" ht="15.5">
      <c r="A69" s="9" t="s">
        <v>438</v>
      </c>
      <c r="B69" s="10" t="s">
        <v>439</v>
      </c>
      <c r="C69" s="11" t="s">
        <v>440</v>
      </c>
      <c r="D69" s="12">
        <v>40240</v>
      </c>
      <c r="E69" s="12">
        <v>44389</v>
      </c>
      <c r="F69" s="12">
        <v>40240</v>
      </c>
      <c r="G69" s="13" t="s">
        <v>258</v>
      </c>
      <c r="H69" s="14" t="s">
        <v>383</v>
      </c>
      <c r="I69" s="14" t="s">
        <v>279</v>
      </c>
      <c r="J69" s="15">
        <v>288.83</v>
      </c>
      <c r="L69" s="29" t="s">
        <v>433</v>
      </c>
      <c r="M69" s="29" t="s">
        <v>777</v>
      </c>
      <c r="N69" s="30">
        <v>0</v>
      </c>
    </row>
    <row r="70" spans="1:14" ht="15.5">
      <c r="A70" s="9" t="s">
        <v>441</v>
      </c>
      <c r="B70" s="10" t="s">
        <v>442</v>
      </c>
      <c r="C70" s="11" t="s">
        <v>443</v>
      </c>
      <c r="D70" s="12">
        <v>44462</v>
      </c>
      <c r="E70" s="12">
        <v>44462</v>
      </c>
      <c r="F70" s="12"/>
      <c r="G70" s="13" t="s">
        <v>258</v>
      </c>
      <c r="H70" s="14" t="s">
        <v>383</v>
      </c>
      <c r="I70" s="14" t="s">
        <v>355</v>
      </c>
      <c r="J70" s="15">
        <v>289.24</v>
      </c>
      <c r="L70" s="29" t="s">
        <v>436</v>
      </c>
      <c r="M70" s="29" t="s">
        <v>777</v>
      </c>
      <c r="N70" s="30">
        <v>0</v>
      </c>
    </row>
    <row r="71" spans="1:14" ht="15.5">
      <c r="A71" s="9">
        <v>2675</v>
      </c>
      <c r="B71" s="10" t="s">
        <v>444</v>
      </c>
      <c r="C71" s="11" t="s">
        <v>445</v>
      </c>
      <c r="D71" s="12">
        <v>45960</v>
      </c>
      <c r="E71" s="12">
        <v>45960</v>
      </c>
      <c r="F71" s="12"/>
      <c r="G71" s="13" t="s">
        <v>258</v>
      </c>
      <c r="H71" s="14" t="s">
        <v>383</v>
      </c>
      <c r="I71" s="14" t="s">
        <v>355</v>
      </c>
      <c r="J71" s="15">
        <v>289.24</v>
      </c>
      <c r="L71" s="29" t="s">
        <v>439</v>
      </c>
      <c r="M71" s="29" t="s">
        <v>777</v>
      </c>
      <c r="N71" s="30">
        <v>340</v>
      </c>
    </row>
    <row r="72" spans="1:14" ht="15.5">
      <c r="A72" s="9" t="s">
        <v>446</v>
      </c>
      <c r="B72" s="10" t="s">
        <v>447</v>
      </c>
      <c r="C72" s="11" t="s">
        <v>448</v>
      </c>
      <c r="D72" s="12">
        <v>45204</v>
      </c>
      <c r="E72" s="12">
        <v>45204</v>
      </c>
      <c r="F72" s="12"/>
      <c r="G72" s="13" t="s">
        <v>258</v>
      </c>
      <c r="H72" s="14" t="s">
        <v>383</v>
      </c>
      <c r="I72" s="14" t="s">
        <v>355</v>
      </c>
      <c r="J72" s="15">
        <v>289.24</v>
      </c>
      <c r="L72" s="29" t="s">
        <v>450</v>
      </c>
      <c r="M72" s="29" t="s">
        <v>777</v>
      </c>
      <c r="N72" s="30">
        <v>311</v>
      </c>
    </row>
    <row r="73" spans="1:14" ht="15.5">
      <c r="A73" s="9" t="s">
        <v>449</v>
      </c>
      <c r="B73" s="10" t="s">
        <v>450</v>
      </c>
      <c r="C73" s="11" t="s">
        <v>451</v>
      </c>
      <c r="D73" s="12">
        <v>44889</v>
      </c>
      <c r="E73" s="12">
        <v>44889</v>
      </c>
      <c r="F73" s="12"/>
      <c r="G73" s="13" t="s">
        <v>258</v>
      </c>
      <c r="H73" s="14" t="s">
        <v>383</v>
      </c>
      <c r="I73" s="14" t="s">
        <v>355</v>
      </c>
      <c r="J73" s="15">
        <v>289.24</v>
      </c>
      <c r="L73" s="29" t="s">
        <v>453</v>
      </c>
      <c r="M73" s="29" t="s">
        <v>778</v>
      </c>
      <c r="N73" s="30">
        <v>339</v>
      </c>
    </row>
    <row r="74" spans="1:14" ht="15.5" hidden="1">
      <c r="A74" s="9" t="s">
        <v>452</v>
      </c>
      <c r="B74" s="10" t="s">
        <v>453</v>
      </c>
      <c r="C74" s="11" t="s">
        <v>454</v>
      </c>
      <c r="D74" s="12">
        <v>43031</v>
      </c>
      <c r="E74" s="12">
        <v>44389</v>
      </c>
      <c r="F74" s="12">
        <v>43031</v>
      </c>
      <c r="G74" s="13" t="s">
        <v>258</v>
      </c>
      <c r="H74" s="14" t="s">
        <v>455</v>
      </c>
      <c r="I74" s="14" t="s">
        <v>355</v>
      </c>
      <c r="J74" s="15">
        <v>289.24</v>
      </c>
      <c r="L74" s="29" t="s">
        <v>457</v>
      </c>
      <c r="M74" s="29" t="s">
        <v>778</v>
      </c>
      <c r="N74" s="30">
        <v>424</v>
      </c>
    </row>
    <row r="75" spans="1:14" ht="15.5" hidden="1">
      <c r="A75" s="9" t="s">
        <v>456</v>
      </c>
      <c r="B75" s="10" t="s">
        <v>457</v>
      </c>
      <c r="C75" s="11" t="s">
        <v>458</v>
      </c>
      <c r="D75" s="12">
        <v>44389</v>
      </c>
      <c r="E75" s="12">
        <v>44389</v>
      </c>
      <c r="F75" s="12"/>
      <c r="G75" s="13" t="s">
        <v>258</v>
      </c>
      <c r="H75" s="14" t="s">
        <v>455</v>
      </c>
      <c r="I75" s="14" t="s">
        <v>355</v>
      </c>
      <c r="J75" s="15">
        <v>289.24</v>
      </c>
      <c r="L75" s="29" t="s">
        <v>460</v>
      </c>
      <c r="M75" s="29" t="s">
        <v>778</v>
      </c>
      <c r="N75" s="30">
        <v>339</v>
      </c>
    </row>
    <row r="76" spans="1:14" ht="15.5" hidden="1">
      <c r="A76" s="9" t="s">
        <v>459</v>
      </c>
      <c r="B76" s="10" t="s">
        <v>460</v>
      </c>
      <c r="C76" s="11" t="s">
        <v>461</v>
      </c>
      <c r="D76" s="12">
        <v>44756</v>
      </c>
      <c r="E76" s="12">
        <v>44756</v>
      </c>
      <c r="F76" s="12"/>
      <c r="G76" s="13" t="s">
        <v>258</v>
      </c>
      <c r="H76" s="14" t="s">
        <v>455</v>
      </c>
      <c r="I76" s="14" t="s">
        <v>355</v>
      </c>
      <c r="J76" s="15">
        <v>289.24</v>
      </c>
      <c r="L76" s="29" t="s">
        <v>463</v>
      </c>
      <c r="M76" s="29" t="s">
        <v>778</v>
      </c>
      <c r="N76" s="30">
        <v>0</v>
      </c>
    </row>
    <row r="77" spans="1:14" ht="15.5" hidden="1">
      <c r="A77" s="9" t="s">
        <v>462</v>
      </c>
      <c r="B77" s="10" t="s">
        <v>463</v>
      </c>
      <c r="C77" s="11" t="s">
        <v>464</v>
      </c>
      <c r="D77" s="12">
        <v>43607</v>
      </c>
      <c r="E77" s="12">
        <v>44389</v>
      </c>
      <c r="F77" s="12">
        <v>43607</v>
      </c>
      <c r="G77" s="13" t="s">
        <v>258</v>
      </c>
      <c r="H77" s="14" t="s">
        <v>455</v>
      </c>
      <c r="I77" s="14" t="s">
        <v>355</v>
      </c>
      <c r="J77" s="15">
        <v>289.24</v>
      </c>
      <c r="L77" s="29" t="s">
        <v>465</v>
      </c>
      <c r="M77" s="29" t="s">
        <v>778</v>
      </c>
      <c r="N77" s="30">
        <v>339</v>
      </c>
    </row>
    <row r="78" spans="1:14" ht="15.5" hidden="1">
      <c r="A78" s="9">
        <v>2308</v>
      </c>
      <c r="B78" s="10" t="s">
        <v>465</v>
      </c>
      <c r="C78" s="11" t="s">
        <v>466</v>
      </c>
      <c r="D78" s="12">
        <v>45729</v>
      </c>
      <c r="E78" s="12">
        <v>45729</v>
      </c>
      <c r="F78" s="12"/>
      <c r="G78" s="13" t="s">
        <v>258</v>
      </c>
      <c r="H78" s="14" t="s">
        <v>455</v>
      </c>
      <c r="I78" s="14" t="s">
        <v>355</v>
      </c>
      <c r="J78" s="15">
        <v>289.24</v>
      </c>
      <c r="L78" s="29" t="s">
        <v>468</v>
      </c>
      <c r="M78" s="29" t="s">
        <v>778</v>
      </c>
      <c r="N78" s="30">
        <v>339</v>
      </c>
    </row>
    <row r="79" spans="1:14" ht="15.5" hidden="1">
      <c r="A79" s="9" t="s">
        <v>467</v>
      </c>
      <c r="B79" s="10" t="s">
        <v>468</v>
      </c>
      <c r="C79" s="11" t="s">
        <v>469</v>
      </c>
      <c r="D79" s="12">
        <v>43753</v>
      </c>
      <c r="E79" s="12">
        <v>44389</v>
      </c>
      <c r="F79" s="12">
        <v>43753</v>
      </c>
      <c r="G79" s="13" t="s">
        <v>258</v>
      </c>
      <c r="H79" s="14" t="s">
        <v>455</v>
      </c>
      <c r="I79" s="14" t="s">
        <v>355</v>
      </c>
      <c r="J79" s="15">
        <v>289.24</v>
      </c>
      <c r="L79" s="29" t="s">
        <v>470</v>
      </c>
      <c r="M79" s="29" t="s">
        <v>778</v>
      </c>
      <c r="N79" s="30">
        <v>0</v>
      </c>
    </row>
    <row r="80" spans="1:14" ht="15.5" hidden="1">
      <c r="A80" s="9">
        <v>2649</v>
      </c>
      <c r="B80" s="10" t="s">
        <v>470</v>
      </c>
      <c r="C80" s="11" t="s">
        <v>471</v>
      </c>
      <c r="D80" s="12">
        <v>45925</v>
      </c>
      <c r="E80" s="12">
        <v>45925</v>
      </c>
      <c r="F80" s="12"/>
      <c r="G80" s="13" t="s">
        <v>258</v>
      </c>
      <c r="H80" s="14" t="s">
        <v>455</v>
      </c>
      <c r="I80" s="14" t="s">
        <v>355</v>
      </c>
      <c r="J80" s="15">
        <v>289.24</v>
      </c>
      <c r="L80" s="29" t="s">
        <v>472</v>
      </c>
      <c r="M80" s="29" t="s">
        <v>778</v>
      </c>
      <c r="N80" s="30">
        <v>0</v>
      </c>
    </row>
    <row r="81" spans="1:14" ht="15.5" hidden="1">
      <c r="A81" s="9">
        <v>2548</v>
      </c>
      <c r="B81" s="10" t="s">
        <v>472</v>
      </c>
      <c r="C81" s="11" t="s">
        <v>473</v>
      </c>
      <c r="D81" s="12">
        <v>45708</v>
      </c>
      <c r="E81" s="12">
        <v>45708</v>
      </c>
      <c r="F81" s="12"/>
      <c r="G81" s="13" t="s">
        <v>258</v>
      </c>
      <c r="H81" s="14" t="s">
        <v>455</v>
      </c>
      <c r="I81" s="14" t="s">
        <v>355</v>
      </c>
      <c r="J81" s="15">
        <v>289.24</v>
      </c>
      <c r="L81" s="29" t="s">
        <v>475</v>
      </c>
      <c r="M81" s="29" t="s">
        <v>778</v>
      </c>
      <c r="N81" s="30">
        <v>311</v>
      </c>
    </row>
    <row r="82" spans="1:14" ht="15.5" hidden="1">
      <c r="A82" s="9" t="s">
        <v>474</v>
      </c>
      <c r="B82" s="10" t="s">
        <v>475</v>
      </c>
      <c r="C82" s="11" t="s">
        <v>476</v>
      </c>
      <c r="D82" s="17">
        <v>45358</v>
      </c>
      <c r="E82" s="17">
        <v>45358</v>
      </c>
      <c r="F82" s="12"/>
      <c r="G82" s="13" t="s">
        <v>258</v>
      </c>
      <c r="H82" s="14" t="s">
        <v>455</v>
      </c>
      <c r="I82" s="14" t="s">
        <v>355</v>
      </c>
      <c r="J82" s="15">
        <v>289.24</v>
      </c>
      <c r="L82" s="29" t="s">
        <v>478</v>
      </c>
      <c r="M82" s="29" t="s">
        <v>778</v>
      </c>
      <c r="N82" s="30">
        <v>339</v>
      </c>
    </row>
    <row r="83" spans="1:14" ht="15.5" hidden="1">
      <c r="A83" s="9" t="s">
        <v>477</v>
      </c>
      <c r="B83" s="10" t="s">
        <v>478</v>
      </c>
      <c r="C83" s="11" t="s">
        <v>479</v>
      </c>
      <c r="D83" s="12">
        <v>42465</v>
      </c>
      <c r="E83" s="12">
        <v>44389</v>
      </c>
      <c r="F83" s="12">
        <v>42465</v>
      </c>
      <c r="G83" s="13" t="s">
        <v>258</v>
      </c>
      <c r="H83" s="14" t="s">
        <v>455</v>
      </c>
      <c r="I83" s="14" t="s">
        <v>355</v>
      </c>
      <c r="J83" s="15">
        <v>289.24</v>
      </c>
      <c r="L83" s="29" t="s">
        <v>480</v>
      </c>
      <c r="M83" s="29" t="s">
        <v>778</v>
      </c>
      <c r="N83" s="30">
        <v>424</v>
      </c>
    </row>
    <row r="84" spans="1:14" ht="15.5" hidden="1">
      <c r="A84" s="9">
        <v>2611</v>
      </c>
      <c r="B84" s="10" t="s">
        <v>480</v>
      </c>
      <c r="C84" s="11" t="s">
        <v>481</v>
      </c>
      <c r="D84" s="12">
        <v>45806</v>
      </c>
      <c r="E84" s="12">
        <v>45806</v>
      </c>
      <c r="F84" s="12"/>
      <c r="G84" s="13" t="s">
        <v>258</v>
      </c>
      <c r="H84" s="14" t="s">
        <v>455</v>
      </c>
      <c r="I84" s="14" t="s">
        <v>355</v>
      </c>
      <c r="J84" s="15">
        <v>289.24</v>
      </c>
      <c r="L84" s="29" t="s">
        <v>482</v>
      </c>
      <c r="M84" s="29" t="s">
        <v>778</v>
      </c>
      <c r="N84" s="30">
        <v>424</v>
      </c>
    </row>
    <row r="85" spans="1:14" ht="15.5" hidden="1">
      <c r="A85" s="9">
        <v>2612</v>
      </c>
      <c r="B85" s="10" t="s">
        <v>482</v>
      </c>
      <c r="C85" s="11" t="s">
        <v>483</v>
      </c>
      <c r="D85" s="12">
        <v>45806</v>
      </c>
      <c r="E85" s="12">
        <v>45806</v>
      </c>
      <c r="F85" s="12"/>
      <c r="G85" s="13" t="s">
        <v>258</v>
      </c>
      <c r="H85" s="14" t="s">
        <v>455</v>
      </c>
      <c r="I85" s="14" t="s">
        <v>355</v>
      </c>
      <c r="J85" s="15">
        <v>289.24</v>
      </c>
      <c r="L85" s="29" t="s">
        <v>485</v>
      </c>
      <c r="M85" s="29" t="s">
        <v>778</v>
      </c>
      <c r="N85" s="30">
        <v>0</v>
      </c>
    </row>
    <row r="86" spans="1:14" ht="15.5" hidden="1">
      <c r="A86" s="9" t="s">
        <v>484</v>
      </c>
      <c r="B86" s="10" t="s">
        <v>485</v>
      </c>
      <c r="C86" s="11" t="s">
        <v>486</v>
      </c>
      <c r="D86" s="12">
        <v>44504</v>
      </c>
      <c r="E86" s="12">
        <v>44504</v>
      </c>
      <c r="F86" s="12"/>
      <c r="G86" s="13" t="s">
        <v>258</v>
      </c>
      <c r="H86" s="14" t="s">
        <v>455</v>
      </c>
      <c r="I86" s="14" t="s">
        <v>355</v>
      </c>
      <c r="J86" s="15">
        <v>289.24</v>
      </c>
      <c r="L86" s="29" t="s">
        <v>488</v>
      </c>
      <c r="M86" s="29" t="s">
        <v>778</v>
      </c>
      <c r="N86" s="30">
        <v>0</v>
      </c>
    </row>
    <row r="87" spans="1:14" ht="15.5" hidden="1">
      <c r="A87" s="9" t="s">
        <v>487</v>
      </c>
      <c r="B87" s="10" t="s">
        <v>488</v>
      </c>
      <c r="C87" s="11" t="s">
        <v>489</v>
      </c>
      <c r="D87" s="12">
        <v>41387</v>
      </c>
      <c r="E87" s="12">
        <v>44389</v>
      </c>
      <c r="F87" s="12">
        <v>41387</v>
      </c>
      <c r="G87" s="13" t="s">
        <v>258</v>
      </c>
      <c r="H87" s="14" t="s">
        <v>455</v>
      </c>
      <c r="I87" s="14" t="s">
        <v>355</v>
      </c>
      <c r="J87" s="15">
        <v>289.24</v>
      </c>
      <c r="L87" s="29" t="s">
        <v>491</v>
      </c>
      <c r="M87" s="29" t="s">
        <v>778</v>
      </c>
      <c r="N87" s="30">
        <v>311</v>
      </c>
    </row>
    <row r="88" spans="1:14" ht="15.5" hidden="1">
      <c r="A88" s="9" t="s">
        <v>490</v>
      </c>
      <c r="B88" s="10" t="s">
        <v>491</v>
      </c>
      <c r="C88" s="11" t="s">
        <v>492</v>
      </c>
      <c r="D88" s="12">
        <v>45344</v>
      </c>
      <c r="E88" s="12">
        <v>45344</v>
      </c>
      <c r="F88" s="12"/>
      <c r="G88" s="13" t="s">
        <v>258</v>
      </c>
      <c r="H88" s="14" t="s">
        <v>455</v>
      </c>
      <c r="I88" s="14" t="s">
        <v>355</v>
      </c>
      <c r="J88" s="15">
        <v>289.24</v>
      </c>
      <c r="L88" s="29" t="s">
        <v>494</v>
      </c>
      <c r="M88" s="29" t="s">
        <v>778</v>
      </c>
      <c r="N88" s="30">
        <v>424</v>
      </c>
    </row>
    <row r="89" spans="1:14" ht="15.5" hidden="1">
      <c r="A89" s="9" t="s">
        <v>493</v>
      </c>
      <c r="B89" s="10" t="s">
        <v>494</v>
      </c>
      <c r="C89" s="11" t="s">
        <v>495</v>
      </c>
      <c r="D89" s="12">
        <v>40098</v>
      </c>
      <c r="E89" s="12">
        <v>44389</v>
      </c>
      <c r="F89" s="12">
        <v>40098</v>
      </c>
      <c r="G89" s="13" t="s">
        <v>258</v>
      </c>
      <c r="H89" s="14" t="s">
        <v>455</v>
      </c>
      <c r="I89" s="14" t="s">
        <v>355</v>
      </c>
      <c r="J89" s="15">
        <v>289.24</v>
      </c>
      <c r="L89" s="29" t="s">
        <v>497</v>
      </c>
      <c r="M89" s="29" t="s">
        <v>778</v>
      </c>
      <c r="N89" s="30">
        <v>0</v>
      </c>
    </row>
    <row r="90" spans="1:14" ht="15.5" hidden="1">
      <c r="A90" s="9" t="s">
        <v>496</v>
      </c>
      <c r="B90" s="10" t="s">
        <v>497</v>
      </c>
      <c r="C90" s="11" t="s">
        <v>498</v>
      </c>
      <c r="D90" s="12">
        <v>41519</v>
      </c>
      <c r="E90" s="12">
        <v>44389</v>
      </c>
      <c r="F90" s="12">
        <v>41519</v>
      </c>
      <c r="G90" s="13" t="s">
        <v>258</v>
      </c>
      <c r="H90" s="14" t="s">
        <v>455</v>
      </c>
      <c r="I90" s="14" t="s">
        <v>355</v>
      </c>
      <c r="J90" s="15">
        <v>289.24</v>
      </c>
      <c r="L90" s="29" t="s">
        <v>500</v>
      </c>
      <c r="M90" s="29" t="s">
        <v>778</v>
      </c>
      <c r="N90" s="30">
        <v>339</v>
      </c>
    </row>
    <row r="91" spans="1:14" ht="15.5" hidden="1">
      <c r="A91" s="9" t="s">
        <v>499</v>
      </c>
      <c r="B91" s="10" t="s">
        <v>500</v>
      </c>
      <c r="C91" s="11" t="s">
        <v>501</v>
      </c>
      <c r="D91" s="12">
        <v>43637</v>
      </c>
      <c r="E91" s="12">
        <v>44389</v>
      </c>
      <c r="F91" s="12">
        <v>43637</v>
      </c>
      <c r="G91" s="13" t="s">
        <v>258</v>
      </c>
      <c r="H91" s="14" t="s">
        <v>455</v>
      </c>
      <c r="I91" s="14" t="s">
        <v>355</v>
      </c>
      <c r="J91" s="15">
        <v>289.24</v>
      </c>
      <c r="L91" s="29" t="s">
        <v>503</v>
      </c>
      <c r="M91" s="29" t="s">
        <v>778</v>
      </c>
      <c r="N91" s="30">
        <v>339</v>
      </c>
    </row>
    <row r="92" spans="1:14" ht="15.5" hidden="1">
      <c r="A92" s="9" t="s">
        <v>502</v>
      </c>
      <c r="B92" s="10" t="s">
        <v>503</v>
      </c>
      <c r="C92" s="11" t="s">
        <v>504</v>
      </c>
      <c r="D92" s="12">
        <v>44686</v>
      </c>
      <c r="E92" s="12">
        <v>44686</v>
      </c>
      <c r="F92" s="12"/>
      <c r="G92" s="13" t="s">
        <v>258</v>
      </c>
      <c r="H92" s="14" t="s">
        <v>455</v>
      </c>
      <c r="I92" s="14" t="s">
        <v>355</v>
      </c>
      <c r="J92" s="15">
        <v>289.24</v>
      </c>
      <c r="L92" s="29" t="s">
        <v>779</v>
      </c>
      <c r="M92" s="29" t="s">
        <v>508</v>
      </c>
      <c r="N92" s="30">
        <v>339</v>
      </c>
    </row>
    <row r="93" spans="1:14" ht="15.5" hidden="1">
      <c r="A93" s="9" t="s">
        <v>505</v>
      </c>
      <c r="B93" s="10" t="s">
        <v>506</v>
      </c>
      <c r="C93" s="11" t="s">
        <v>507</v>
      </c>
      <c r="D93" s="12">
        <v>45141</v>
      </c>
      <c r="E93" s="12">
        <v>45141</v>
      </c>
      <c r="F93" s="12"/>
      <c r="G93" s="13" t="s">
        <v>258</v>
      </c>
      <c r="H93" s="14" t="s">
        <v>508</v>
      </c>
      <c r="I93" s="14" t="s">
        <v>83</v>
      </c>
      <c r="J93" s="15">
        <v>280</v>
      </c>
      <c r="L93" s="29" t="s">
        <v>506</v>
      </c>
      <c r="M93" s="29" t="s">
        <v>508</v>
      </c>
      <c r="N93" s="30">
        <v>0</v>
      </c>
    </row>
    <row r="94" spans="1:14" ht="15.5" hidden="1">
      <c r="A94" s="9">
        <v>2491</v>
      </c>
      <c r="B94" s="10" t="s">
        <v>509</v>
      </c>
      <c r="C94" s="11" t="s">
        <v>510</v>
      </c>
      <c r="D94" s="12">
        <v>45610</v>
      </c>
      <c r="E94" s="12">
        <v>45610</v>
      </c>
      <c r="F94" s="12"/>
      <c r="G94" s="13" t="s">
        <v>258</v>
      </c>
      <c r="H94" s="14" t="s">
        <v>508</v>
      </c>
      <c r="I94" s="14" t="s">
        <v>83</v>
      </c>
      <c r="J94" s="15">
        <v>280</v>
      </c>
      <c r="L94" s="29" t="s">
        <v>509</v>
      </c>
      <c r="M94" s="29" t="s">
        <v>508</v>
      </c>
      <c r="N94" s="30">
        <v>311</v>
      </c>
    </row>
    <row r="95" spans="1:14" ht="15.5">
      <c r="A95" s="9" t="s">
        <v>511</v>
      </c>
      <c r="B95" s="10" t="s">
        <v>512</v>
      </c>
      <c r="C95" s="11">
        <v>72998500259</v>
      </c>
      <c r="D95" s="12">
        <v>44938</v>
      </c>
      <c r="E95" s="12">
        <v>44938</v>
      </c>
      <c r="F95" s="12"/>
      <c r="G95" s="13" t="s">
        <v>258</v>
      </c>
      <c r="H95" s="14" t="s">
        <v>513</v>
      </c>
      <c r="I95" s="14" t="s">
        <v>83</v>
      </c>
      <c r="J95" s="15">
        <v>280</v>
      </c>
      <c r="L95" s="29" t="s">
        <v>780</v>
      </c>
      <c r="M95" s="29" t="s">
        <v>508</v>
      </c>
      <c r="N95" s="30">
        <v>397</v>
      </c>
    </row>
    <row r="96" spans="1:14" ht="15.5">
      <c r="A96" s="9" t="s">
        <v>514</v>
      </c>
      <c r="B96" s="10" t="s">
        <v>515</v>
      </c>
      <c r="C96" s="11" t="s">
        <v>516</v>
      </c>
      <c r="D96" s="12">
        <v>45204</v>
      </c>
      <c r="E96" s="12">
        <v>45204</v>
      </c>
      <c r="F96" s="12"/>
      <c r="G96" s="13" t="s">
        <v>258</v>
      </c>
      <c r="H96" s="14" t="s">
        <v>513</v>
      </c>
      <c r="I96" s="14" t="s">
        <v>279</v>
      </c>
      <c r="J96" s="15">
        <v>288.83</v>
      </c>
      <c r="L96" s="29" t="s">
        <v>781</v>
      </c>
      <c r="M96" s="29" t="s">
        <v>508</v>
      </c>
      <c r="N96" s="30">
        <v>339</v>
      </c>
    </row>
    <row r="97" spans="1:14" ht="15.5">
      <c r="A97" s="9" t="s">
        <v>517</v>
      </c>
      <c r="B97" s="10" t="s">
        <v>518</v>
      </c>
      <c r="C97" s="11" t="s">
        <v>519</v>
      </c>
      <c r="D97" s="12">
        <v>44389</v>
      </c>
      <c r="E97" s="12">
        <v>44389</v>
      </c>
      <c r="F97" s="12"/>
      <c r="G97" s="13" t="s">
        <v>258</v>
      </c>
      <c r="H97" s="14" t="s">
        <v>513</v>
      </c>
      <c r="I97" s="14" t="s">
        <v>279</v>
      </c>
      <c r="J97" s="15">
        <v>288.83</v>
      </c>
      <c r="L97" s="29" t="s">
        <v>782</v>
      </c>
      <c r="M97" s="29" t="s">
        <v>508</v>
      </c>
      <c r="N97" s="30">
        <v>226</v>
      </c>
    </row>
    <row r="98" spans="1:14" ht="15.5">
      <c r="A98" s="9" t="s">
        <v>520</v>
      </c>
      <c r="B98" s="10" t="s">
        <v>521</v>
      </c>
      <c r="C98" s="11" t="s">
        <v>522</v>
      </c>
      <c r="D98" s="12">
        <v>41204</v>
      </c>
      <c r="E98" s="12">
        <v>44389</v>
      </c>
      <c r="F98" s="12">
        <v>41204</v>
      </c>
      <c r="G98" s="13" t="s">
        <v>258</v>
      </c>
      <c r="H98" s="14" t="s">
        <v>513</v>
      </c>
      <c r="I98" s="14" t="s">
        <v>279</v>
      </c>
      <c r="J98" s="15">
        <v>288.83</v>
      </c>
      <c r="L98" s="29" t="s">
        <v>575</v>
      </c>
      <c r="M98" s="29" t="s">
        <v>573</v>
      </c>
      <c r="N98" s="30">
        <v>0</v>
      </c>
    </row>
    <row r="99" spans="1:14" ht="15.5">
      <c r="A99" s="9" t="s">
        <v>523</v>
      </c>
      <c r="B99" s="10" t="s">
        <v>524</v>
      </c>
      <c r="C99" s="11" t="s">
        <v>525</v>
      </c>
      <c r="D99" s="12">
        <v>44980</v>
      </c>
      <c r="E99" s="12">
        <v>44980</v>
      </c>
      <c r="F99" s="12"/>
      <c r="G99" s="13" t="s">
        <v>258</v>
      </c>
      <c r="H99" s="14" t="s">
        <v>513</v>
      </c>
      <c r="I99" s="14" t="s">
        <v>279</v>
      </c>
      <c r="J99" s="15">
        <v>288.83</v>
      </c>
      <c r="L99" s="29" t="s">
        <v>783</v>
      </c>
      <c r="M99" s="29" t="s">
        <v>573</v>
      </c>
      <c r="N99" s="30">
        <v>0</v>
      </c>
    </row>
    <row r="100" spans="1:14" ht="15.5">
      <c r="A100" s="9" t="s">
        <v>526</v>
      </c>
      <c r="B100" s="10" t="s">
        <v>527</v>
      </c>
      <c r="C100" s="11" t="s">
        <v>528</v>
      </c>
      <c r="D100" s="12">
        <v>44567</v>
      </c>
      <c r="E100" s="12">
        <v>44567</v>
      </c>
      <c r="F100" s="12"/>
      <c r="G100" s="13" t="s">
        <v>258</v>
      </c>
      <c r="H100" s="14" t="s">
        <v>513</v>
      </c>
      <c r="I100" s="14" t="s">
        <v>279</v>
      </c>
      <c r="J100" s="15">
        <v>288.83</v>
      </c>
      <c r="L100" s="29" t="s">
        <v>577</v>
      </c>
      <c r="M100" s="29" t="s">
        <v>573</v>
      </c>
      <c r="N100" s="30">
        <v>0</v>
      </c>
    </row>
    <row r="101" spans="1:14" ht="15.5">
      <c r="A101" s="9" t="s">
        <v>529</v>
      </c>
      <c r="B101" s="10" t="s">
        <v>530</v>
      </c>
      <c r="C101" s="11" t="s">
        <v>531</v>
      </c>
      <c r="D101" s="12">
        <v>43290</v>
      </c>
      <c r="E101" s="12">
        <v>44389</v>
      </c>
      <c r="F101" s="12">
        <v>43290</v>
      </c>
      <c r="G101" s="13" t="s">
        <v>258</v>
      </c>
      <c r="H101" s="14" t="s">
        <v>513</v>
      </c>
      <c r="I101" s="14" t="s">
        <v>279</v>
      </c>
      <c r="J101" s="15">
        <v>288.83</v>
      </c>
      <c r="L101" s="29" t="s">
        <v>580</v>
      </c>
      <c r="M101" s="29" t="s">
        <v>573</v>
      </c>
      <c r="N101" s="30">
        <v>397</v>
      </c>
    </row>
    <row r="102" spans="1:14" ht="15.5">
      <c r="A102" s="9" t="s">
        <v>532</v>
      </c>
      <c r="B102" s="10" t="s">
        <v>533</v>
      </c>
      <c r="C102" s="11">
        <v>72068625663</v>
      </c>
      <c r="D102" s="12">
        <v>44805</v>
      </c>
      <c r="E102" s="12">
        <v>44805</v>
      </c>
      <c r="F102" s="12"/>
      <c r="G102" s="13" t="s">
        <v>258</v>
      </c>
      <c r="H102" s="14" t="s">
        <v>513</v>
      </c>
      <c r="I102" s="14" t="s">
        <v>279</v>
      </c>
      <c r="J102" s="15">
        <v>288.83</v>
      </c>
      <c r="L102" s="29" t="s">
        <v>583</v>
      </c>
      <c r="M102" s="29" t="s">
        <v>573</v>
      </c>
      <c r="N102" s="30">
        <v>397</v>
      </c>
    </row>
    <row r="103" spans="1:14" ht="15.5">
      <c r="A103" s="9" t="s">
        <v>534</v>
      </c>
      <c r="B103" s="10" t="s">
        <v>535</v>
      </c>
      <c r="C103" s="11" t="s">
        <v>536</v>
      </c>
      <c r="D103" s="12">
        <v>45204</v>
      </c>
      <c r="E103" s="12">
        <v>45204</v>
      </c>
      <c r="F103" s="12"/>
      <c r="G103" s="13" t="s">
        <v>258</v>
      </c>
      <c r="H103" s="14" t="s">
        <v>513</v>
      </c>
      <c r="I103" s="14" t="s">
        <v>279</v>
      </c>
      <c r="J103" s="15">
        <v>288.83</v>
      </c>
      <c r="L103" s="29" t="s">
        <v>585</v>
      </c>
      <c r="M103" s="29" t="s">
        <v>573</v>
      </c>
      <c r="N103" s="30">
        <v>0</v>
      </c>
    </row>
    <row r="104" spans="1:14" ht="15.5">
      <c r="A104" s="9" t="s">
        <v>537</v>
      </c>
      <c r="B104" s="10" t="s">
        <v>538</v>
      </c>
      <c r="C104" s="11" t="s">
        <v>539</v>
      </c>
      <c r="D104" s="12">
        <v>39828</v>
      </c>
      <c r="E104" s="12">
        <v>44389</v>
      </c>
      <c r="F104" s="12">
        <v>39828</v>
      </c>
      <c r="G104" s="13" t="s">
        <v>258</v>
      </c>
      <c r="H104" s="14" t="s">
        <v>513</v>
      </c>
      <c r="I104" s="14" t="s">
        <v>279</v>
      </c>
      <c r="J104" s="15">
        <v>288.83</v>
      </c>
      <c r="L104" s="29" t="s">
        <v>588</v>
      </c>
      <c r="M104" s="29" t="s">
        <v>573</v>
      </c>
      <c r="N104" s="30">
        <v>226</v>
      </c>
    </row>
    <row r="105" spans="1:14" ht="15.5">
      <c r="A105" s="9" t="s">
        <v>540</v>
      </c>
      <c r="B105" s="10" t="s">
        <v>541</v>
      </c>
      <c r="C105" s="11" t="s">
        <v>542</v>
      </c>
      <c r="D105" s="12">
        <v>40595</v>
      </c>
      <c r="E105" s="12">
        <v>44389</v>
      </c>
      <c r="F105" s="12">
        <v>40595</v>
      </c>
      <c r="G105" s="13" t="s">
        <v>258</v>
      </c>
      <c r="H105" s="14" t="s">
        <v>513</v>
      </c>
      <c r="I105" s="14" t="s">
        <v>279</v>
      </c>
      <c r="J105" s="15">
        <v>288.83</v>
      </c>
      <c r="L105" s="29" t="s">
        <v>571</v>
      </c>
      <c r="M105" s="29" t="s">
        <v>573</v>
      </c>
      <c r="N105" s="30">
        <v>311</v>
      </c>
    </row>
    <row r="106" spans="1:14" ht="15.5">
      <c r="A106" s="9" t="s">
        <v>543</v>
      </c>
      <c r="B106" s="10" t="s">
        <v>544</v>
      </c>
      <c r="C106" s="11">
        <v>72089018419</v>
      </c>
      <c r="D106" s="12">
        <v>44805</v>
      </c>
      <c r="E106" s="12">
        <v>44805</v>
      </c>
      <c r="F106" s="12"/>
      <c r="G106" s="13" t="s">
        <v>258</v>
      </c>
      <c r="H106" s="14" t="s">
        <v>513</v>
      </c>
      <c r="I106" s="14" t="s">
        <v>279</v>
      </c>
      <c r="J106" s="15">
        <v>288.83</v>
      </c>
      <c r="L106" s="29" t="s">
        <v>591</v>
      </c>
      <c r="M106" s="29" t="s">
        <v>573</v>
      </c>
      <c r="N106" s="30">
        <v>0</v>
      </c>
    </row>
    <row r="107" spans="1:14" ht="15.5">
      <c r="A107" s="9" t="s">
        <v>545</v>
      </c>
      <c r="B107" s="10" t="s">
        <v>546</v>
      </c>
      <c r="C107" s="11" t="s">
        <v>547</v>
      </c>
      <c r="D107" s="12">
        <v>40561</v>
      </c>
      <c r="E107" s="12">
        <v>44389</v>
      </c>
      <c r="F107" s="12">
        <v>40561</v>
      </c>
      <c r="G107" s="13" t="s">
        <v>258</v>
      </c>
      <c r="H107" s="14" t="s">
        <v>513</v>
      </c>
      <c r="I107" s="14" t="s">
        <v>279</v>
      </c>
      <c r="J107" s="15">
        <v>288.83</v>
      </c>
      <c r="L107" s="29" t="s">
        <v>784</v>
      </c>
      <c r="M107" s="29" t="s">
        <v>573</v>
      </c>
      <c r="N107" s="30">
        <v>0</v>
      </c>
    </row>
    <row r="108" spans="1:14" ht="15.5">
      <c r="A108" s="9" t="s">
        <v>548</v>
      </c>
      <c r="B108" s="10" t="s">
        <v>549</v>
      </c>
      <c r="C108" s="11" t="s">
        <v>550</v>
      </c>
      <c r="D108" s="12">
        <v>44840</v>
      </c>
      <c r="E108" s="12">
        <v>44840</v>
      </c>
      <c r="F108" s="12"/>
      <c r="G108" s="13" t="s">
        <v>258</v>
      </c>
      <c r="H108" s="14" t="s">
        <v>513</v>
      </c>
      <c r="I108" s="14" t="s">
        <v>279</v>
      </c>
      <c r="J108" s="15">
        <v>288.83</v>
      </c>
      <c r="L108" s="29" t="s">
        <v>655</v>
      </c>
      <c r="M108" s="29" t="s">
        <v>573</v>
      </c>
      <c r="N108" s="30">
        <v>226</v>
      </c>
    </row>
    <row r="109" spans="1:14" ht="15.5">
      <c r="A109" s="9" t="s">
        <v>551</v>
      </c>
      <c r="B109" s="10" t="s">
        <v>552</v>
      </c>
      <c r="C109" s="11" t="s">
        <v>553</v>
      </c>
      <c r="D109" s="12">
        <v>43326</v>
      </c>
      <c r="E109" s="12">
        <v>44389</v>
      </c>
      <c r="F109" s="12">
        <v>43326</v>
      </c>
      <c r="G109" s="13" t="s">
        <v>258</v>
      </c>
      <c r="H109" s="14" t="s">
        <v>513</v>
      </c>
      <c r="I109" s="14" t="s">
        <v>279</v>
      </c>
      <c r="J109" s="15">
        <v>288.83</v>
      </c>
      <c r="L109" s="29" t="s">
        <v>595</v>
      </c>
      <c r="M109" s="29" t="s">
        <v>573</v>
      </c>
      <c r="N109" s="30">
        <v>509</v>
      </c>
    </row>
    <row r="110" spans="1:14" ht="15.5">
      <c r="A110" s="9" t="s">
        <v>554</v>
      </c>
      <c r="B110" s="10" t="s">
        <v>555</v>
      </c>
      <c r="C110" s="11" t="s">
        <v>556</v>
      </c>
      <c r="D110" s="12">
        <v>40420</v>
      </c>
      <c r="E110" s="12">
        <v>44389</v>
      </c>
      <c r="F110" s="12">
        <v>40420</v>
      </c>
      <c r="G110" s="13" t="s">
        <v>258</v>
      </c>
      <c r="H110" s="14" t="s">
        <v>513</v>
      </c>
      <c r="I110" s="14" t="s">
        <v>279</v>
      </c>
      <c r="J110" s="15">
        <v>288.83</v>
      </c>
      <c r="L110" s="29" t="s">
        <v>598</v>
      </c>
      <c r="M110" s="29" t="s">
        <v>573</v>
      </c>
      <c r="N110" s="30">
        <v>0</v>
      </c>
    </row>
    <row r="111" spans="1:14" ht="15.5">
      <c r="A111" s="9" t="s">
        <v>557</v>
      </c>
      <c r="B111" s="10" t="s">
        <v>558</v>
      </c>
      <c r="C111" s="11">
        <v>72008134107</v>
      </c>
      <c r="D111" s="12">
        <v>44952</v>
      </c>
      <c r="E111" s="12">
        <v>44952</v>
      </c>
      <c r="F111" s="12"/>
      <c r="G111" s="13" t="s">
        <v>258</v>
      </c>
      <c r="H111" s="14" t="s">
        <v>513</v>
      </c>
      <c r="I111" s="14" t="s">
        <v>355</v>
      </c>
      <c r="J111" s="15">
        <v>289.24</v>
      </c>
      <c r="L111" s="29" t="s">
        <v>601</v>
      </c>
      <c r="M111" s="29" t="s">
        <v>573</v>
      </c>
      <c r="N111" s="30">
        <v>340</v>
      </c>
    </row>
    <row r="112" spans="1:14" ht="15.5">
      <c r="A112" s="9" t="s">
        <v>559</v>
      </c>
      <c r="B112" s="10" t="s">
        <v>560</v>
      </c>
      <c r="C112" s="11" t="s">
        <v>561</v>
      </c>
      <c r="D112" s="12">
        <v>44390</v>
      </c>
      <c r="E112" s="12">
        <v>44390</v>
      </c>
      <c r="F112" s="12"/>
      <c r="G112" s="13" t="s">
        <v>258</v>
      </c>
      <c r="H112" s="14" t="s">
        <v>513</v>
      </c>
      <c r="I112" s="14" t="s">
        <v>355</v>
      </c>
      <c r="J112" s="15">
        <v>289.24</v>
      </c>
      <c r="L112" s="29" t="s">
        <v>604</v>
      </c>
      <c r="M112" s="29" t="s">
        <v>573</v>
      </c>
      <c r="N112" s="30">
        <v>0</v>
      </c>
    </row>
    <row r="113" spans="1:14" ht="15.5">
      <c r="A113" s="9" t="s">
        <v>562</v>
      </c>
      <c r="B113" s="10" t="s">
        <v>563</v>
      </c>
      <c r="C113" s="11" t="s">
        <v>564</v>
      </c>
      <c r="D113" s="12">
        <v>44840</v>
      </c>
      <c r="E113" s="12">
        <v>44840</v>
      </c>
      <c r="F113" s="12"/>
      <c r="G113" s="13" t="s">
        <v>258</v>
      </c>
      <c r="H113" s="14" t="s">
        <v>513</v>
      </c>
      <c r="I113" s="14" t="s">
        <v>355</v>
      </c>
      <c r="J113" s="15">
        <v>289.24</v>
      </c>
      <c r="L113" s="29" t="s">
        <v>607</v>
      </c>
      <c r="M113" s="29" t="s">
        <v>573</v>
      </c>
      <c r="N113" s="30">
        <v>340</v>
      </c>
    </row>
    <row r="114" spans="1:14" ht="15.5">
      <c r="A114" s="9" t="s">
        <v>565</v>
      </c>
      <c r="B114" s="10" t="s">
        <v>566</v>
      </c>
      <c r="C114" s="11" t="s">
        <v>567</v>
      </c>
      <c r="D114" s="16">
        <v>44868</v>
      </c>
      <c r="E114" s="12">
        <v>44867</v>
      </c>
      <c r="F114" s="12"/>
      <c r="G114" s="13" t="s">
        <v>258</v>
      </c>
      <c r="H114" s="14" t="s">
        <v>513</v>
      </c>
      <c r="I114" s="14" t="s">
        <v>355</v>
      </c>
      <c r="J114" s="15">
        <v>289.24</v>
      </c>
      <c r="L114" s="29" t="s">
        <v>610</v>
      </c>
      <c r="M114" s="29" t="s">
        <v>573</v>
      </c>
      <c r="N114" s="30">
        <v>340</v>
      </c>
    </row>
    <row r="115" spans="1:14" ht="15.5">
      <c r="A115" s="9">
        <v>2609</v>
      </c>
      <c r="B115" s="10" t="s">
        <v>568</v>
      </c>
      <c r="C115" s="11" t="s">
        <v>569</v>
      </c>
      <c r="D115" s="12">
        <v>45799</v>
      </c>
      <c r="E115" s="12">
        <v>45799</v>
      </c>
      <c r="F115" s="12"/>
      <c r="G115" s="13" t="s">
        <v>258</v>
      </c>
      <c r="H115" s="14" t="s">
        <v>513</v>
      </c>
      <c r="I115" s="14" t="s">
        <v>355</v>
      </c>
      <c r="J115" s="15">
        <v>289.24</v>
      </c>
      <c r="L115" s="29" t="s">
        <v>612</v>
      </c>
      <c r="M115" s="29" t="s">
        <v>573</v>
      </c>
      <c r="N115" s="30">
        <v>226</v>
      </c>
    </row>
    <row r="116" spans="1:14" ht="15.5">
      <c r="A116" s="9" t="s">
        <v>570</v>
      </c>
      <c r="B116" s="10" t="s">
        <v>571</v>
      </c>
      <c r="C116" s="11" t="s">
        <v>572</v>
      </c>
      <c r="D116" s="12">
        <v>44389</v>
      </c>
      <c r="E116" s="12">
        <v>44389</v>
      </c>
      <c r="F116" s="12"/>
      <c r="G116" s="13" t="s">
        <v>258</v>
      </c>
      <c r="H116" s="14" t="s">
        <v>573</v>
      </c>
      <c r="I116" s="14" t="s">
        <v>83</v>
      </c>
      <c r="J116" s="15">
        <v>280</v>
      </c>
      <c r="L116" s="29" t="s">
        <v>615</v>
      </c>
      <c r="M116" s="29" t="s">
        <v>573</v>
      </c>
      <c r="N116" s="30">
        <v>397</v>
      </c>
    </row>
    <row r="117" spans="1:14" ht="15.5">
      <c r="A117" s="9" t="s">
        <v>574</v>
      </c>
      <c r="B117" s="10" t="s">
        <v>575</v>
      </c>
      <c r="C117" s="11">
        <v>72088601413</v>
      </c>
      <c r="D117" s="12">
        <v>44805</v>
      </c>
      <c r="E117" s="12">
        <v>44805</v>
      </c>
      <c r="F117" s="12"/>
      <c r="G117" s="13" t="s">
        <v>258</v>
      </c>
      <c r="H117" s="14" t="s">
        <v>573</v>
      </c>
      <c r="I117" s="14" t="s">
        <v>279</v>
      </c>
      <c r="J117" s="15">
        <v>288.83</v>
      </c>
      <c r="L117" s="29" t="s">
        <v>617</v>
      </c>
      <c r="M117" s="29" t="s">
        <v>573</v>
      </c>
      <c r="N117" s="30">
        <v>226</v>
      </c>
    </row>
    <row r="118" spans="1:14" ht="15.5">
      <c r="A118" s="9" t="s">
        <v>576</v>
      </c>
      <c r="B118" s="10" t="s">
        <v>577</v>
      </c>
      <c r="C118" s="11" t="s">
        <v>578</v>
      </c>
      <c r="D118" s="12">
        <v>40784</v>
      </c>
      <c r="E118" s="12">
        <v>44389</v>
      </c>
      <c r="F118" s="12">
        <v>40784</v>
      </c>
      <c r="G118" s="13" t="s">
        <v>258</v>
      </c>
      <c r="H118" s="14" t="s">
        <v>573</v>
      </c>
      <c r="I118" s="14" t="s">
        <v>279</v>
      </c>
      <c r="J118" s="15">
        <v>288.83</v>
      </c>
      <c r="L118" s="29" t="s">
        <v>620</v>
      </c>
      <c r="M118" s="29" t="s">
        <v>573</v>
      </c>
      <c r="N118" s="30">
        <v>226</v>
      </c>
    </row>
    <row r="119" spans="1:14" ht="15.5">
      <c r="A119" s="9" t="s">
        <v>579</v>
      </c>
      <c r="B119" s="10" t="s">
        <v>580</v>
      </c>
      <c r="C119" s="11" t="s">
        <v>581</v>
      </c>
      <c r="D119" s="12">
        <v>42866</v>
      </c>
      <c r="E119" s="12">
        <v>44389</v>
      </c>
      <c r="F119" s="12">
        <v>42866</v>
      </c>
      <c r="G119" s="13" t="s">
        <v>258</v>
      </c>
      <c r="H119" s="14" t="s">
        <v>573</v>
      </c>
      <c r="I119" s="14" t="s">
        <v>279</v>
      </c>
      <c r="J119" s="15">
        <v>288.83</v>
      </c>
      <c r="L119" s="29" t="s">
        <v>623</v>
      </c>
      <c r="M119" s="29" t="s">
        <v>573</v>
      </c>
      <c r="N119" s="30">
        <v>311</v>
      </c>
    </row>
    <row r="120" spans="1:14" ht="15.5">
      <c r="A120" s="9" t="s">
        <v>582</v>
      </c>
      <c r="B120" s="10" t="s">
        <v>583</v>
      </c>
      <c r="C120" s="11" t="s">
        <v>584</v>
      </c>
      <c r="D120" s="12">
        <v>38484</v>
      </c>
      <c r="E120" s="12">
        <v>44389</v>
      </c>
      <c r="F120" s="12">
        <v>38484</v>
      </c>
      <c r="G120" s="13" t="s">
        <v>258</v>
      </c>
      <c r="H120" s="14" t="s">
        <v>573</v>
      </c>
      <c r="I120" s="14" t="s">
        <v>279</v>
      </c>
      <c r="J120" s="15">
        <v>288.83</v>
      </c>
      <c r="L120" s="29" t="s">
        <v>785</v>
      </c>
      <c r="M120" s="29" t="s">
        <v>573</v>
      </c>
      <c r="N120" s="30">
        <v>0</v>
      </c>
    </row>
    <row r="121" spans="1:14" ht="15.5">
      <c r="A121" s="9">
        <v>2639</v>
      </c>
      <c r="B121" s="10" t="s">
        <v>585</v>
      </c>
      <c r="C121" s="11" t="s">
        <v>586</v>
      </c>
      <c r="D121" s="12">
        <v>45904</v>
      </c>
      <c r="E121" s="12">
        <v>45904</v>
      </c>
      <c r="F121" s="12"/>
      <c r="G121" s="13" t="s">
        <v>258</v>
      </c>
      <c r="H121" s="14" t="s">
        <v>573</v>
      </c>
      <c r="I121" s="14" t="s">
        <v>279</v>
      </c>
      <c r="J121" s="15">
        <v>288.83</v>
      </c>
      <c r="L121" s="29" t="s">
        <v>661</v>
      </c>
      <c r="M121" s="29" t="s">
        <v>573</v>
      </c>
      <c r="N121" s="30">
        <v>0</v>
      </c>
    </row>
    <row r="122" spans="1:14" ht="15.5">
      <c r="A122" s="9" t="s">
        <v>587</v>
      </c>
      <c r="B122" s="10" t="s">
        <v>588</v>
      </c>
      <c r="C122" s="11" t="s">
        <v>589</v>
      </c>
      <c r="D122" s="12">
        <v>42285</v>
      </c>
      <c r="E122" s="12">
        <v>44389</v>
      </c>
      <c r="F122" s="12">
        <v>42285</v>
      </c>
      <c r="G122" s="13" t="s">
        <v>258</v>
      </c>
      <c r="H122" s="14" t="s">
        <v>573</v>
      </c>
      <c r="I122" s="14" t="s">
        <v>279</v>
      </c>
      <c r="J122" s="15">
        <v>288.83</v>
      </c>
      <c r="L122" s="29" t="s">
        <v>628</v>
      </c>
      <c r="M122" s="29" t="s">
        <v>573</v>
      </c>
      <c r="N122" s="30">
        <v>481</v>
      </c>
    </row>
    <row r="123" spans="1:14" ht="15.5">
      <c r="A123" s="9" t="s">
        <v>590</v>
      </c>
      <c r="B123" s="10" t="s">
        <v>591</v>
      </c>
      <c r="C123" s="11">
        <v>45169755902</v>
      </c>
      <c r="D123" s="12">
        <v>44973</v>
      </c>
      <c r="E123" s="12">
        <v>44973</v>
      </c>
      <c r="F123" s="12"/>
      <c r="G123" s="13" t="s">
        <v>258</v>
      </c>
      <c r="H123" s="14" t="s">
        <v>573</v>
      </c>
      <c r="I123" s="14" t="s">
        <v>279</v>
      </c>
      <c r="J123" s="15">
        <v>288.83</v>
      </c>
      <c r="L123" s="29" t="s">
        <v>630</v>
      </c>
      <c r="M123" s="29" t="s">
        <v>573</v>
      </c>
      <c r="N123" s="30">
        <v>0</v>
      </c>
    </row>
    <row r="124" spans="1:14" ht="15.5">
      <c r="A124" s="9">
        <v>2671</v>
      </c>
      <c r="B124" s="10" t="s">
        <v>592</v>
      </c>
      <c r="C124" s="11" t="s">
        <v>593</v>
      </c>
      <c r="D124" s="12">
        <v>45960</v>
      </c>
      <c r="E124" s="12">
        <v>45960</v>
      </c>
      <c r="F124" s="12"/>
      <c r="G124" s="13" t="s">
        <v>258</v>
      </c>
      <c r="H124" s="14" t="s">
        <v>573</v>
      </c>
      <c r="I124" s="14" t="s">
        <v>279</v>
      </c>
      <c r="J124" s="15">
        <v>288.83</v>
      </c>
      <c r="L124" s="29" t="s">
        <v>633</v>
      </c>
      <c r="M124" s="29" t="s">
        <v>573</v>
      </c>
      <c r="N124" s="30">
        <v>340</v>
      </c>
    </row>
    <row r="125" spans="1:14" ht="15.5">
      <c r="A125" s="9" t="s">
        <v>594</v>
      </c>
      <c r="B125" s="10" t="s">
        <v>595</v>
      </c>
      <c r="C125" s="11" t="s">
        <v>596</v>
      </c>
      <c r="D125" s="12">
        <v>44511</v>
      </c>
      <c r="E125" s="12">
        <v>44511</v>
      </c>
      <c r="F125" s="12"/>
      <c r="G125" s="13" t="s">
        <v>258</v>
      </c>
      <c r="H125" s="14" t="s">
        <v>573</v>
      </c>
      <c r="I125" s="14" t="s">
        <v>279</v>
      </c>
      <c r="J125" s="15">
        <v>288.83</v>
      </c>
      <c r="L125" s="29" t="s">
        <v>635</v>
      </c>
      <c r="M125" s="29" t="s">
        <v>573</v>
      </c>
      <c r="N125" s="30">
        <v>424</v>
      </c>
    </row>
    <row r="126" spans="1:14" ht="15.5">
      <c r="A126" s="9" t="s">
        <v>597</v>
      </c>
      <c r="B126" s="10" t="s">
        <v>598</v>
      </c>
      <c r="C126" s="11" t="s">
        <v>599</v>
      </c>
      <c r="D126" s="12">
        <v>42492</v>
      </c>
      <c r="E126" s="12">
        <v>44389</v>
      </c>
      <c r="F126" s="12">
        <v>42492</v>
      </c>
      <c r="G126" s="13" t="s">
        <v>258</v>
      </c>
      <c r="H126" s="14" t="s">
        <v>573</v>
      </c>
      <c r="I126" s="14" t="s">
        <v>279</v>
      </c>
      <c r="J126" s="15">
        <v>288.83</v>
      </c>
      <c r="L126" s="29" t="s">
        <v>658</v>
      </c>
      <c r="M126" s="29" t="s">
        <v>573</v>
      </c>
      <c r="N126" s="30">
        <v>226</v>
      </c>
    </row>
    <row r="127" spans="1:14" ht="15.5">
      <c r="A127" s="9" t="s">
        <v>600</v>
      </c>
      <c r="B127" s="10" t="s">
        <v>601</v>
      </c>
      <c r="C127" s="11" t="s">
        <v>602</v>
      </c>
      <c r="D127" s="12">
        <v>38792</v>
      </c>
      <c r="E127" s="12">
        <v>44389</v>
      </c>
      <c r="F127" s="12">
        <v>38792</v>
      </c>
      <c r="G127" s="13" t="s">
        <v>258</v>
      </c>
      <c r="H127" s="14" t="s">
        <v>573</v>
      </c>
      <c r="I127" s="14" t="s">
        <v>279</v>
      </c>
      <c r="J127" s="15">
        <v>288.83</v>
      </c>
      <c r="L127" s="29" t="s">
        <v>638</v>
      </c>
      <c r="M127" s="29" t="s">
        <v>573</v>
      </c>
      <c r="N127" s="30">
        <v>509</v>
      </c>
    </row>
    <row r="128" spans="1:14" ht="15.5">
      <c r="A128" s="9" t="s">
        <v>603</v>
      </c>
      <c r="B128" s="10" t="s">
        <v>604</v>
      </c>
      <c r="C128" s="11" t="s">
        <v>605</v>
      </c>
      <c r="D128" s="17">
        <v>38468</v>
      </c>
      <c r="E128" s="12">
        <v>44389</v>
      </c>
      <c r="F128" s="12">
        <v>38468</v>
      </c>
      <c r="G128" s="13" t="s">
        <v>258</v>
      </c>
      <c r="H128" s="14" t="s">
        <v>573</v>
      </c>
      <c r="I128" s="14" t="s">
        <v>279</v>
      </c>
      <c r="J128" s="15">
        <v>288.83</v>
      </c>
      <c r="L128" s="29" t="s">
        <v>641</v>
      </c>
      <c r="M128" s="29" t="s">
        <v>573</v>
      </c>
      <c r="N128" s="30">
        <v>340</v>
      </c>
    </row>
    <row r="129" spans="1:14" ht="15.5">
      <c r="A129" s="9" t="s">
        <v>606</v>
      </c>
      <c r="B129" s="10" t="s">
        <v>607</v>
      </c>
      <c r="C129" s="11" t="s">
        <v>608</v>
      </c>
      <c r="D129" s="12">
        <v>40826</v>
      </c>
      <c r="E129" s="12">
        <v>44389</v>
      </c>
      <c r="F129" s="12">
        <v>40826</v>
      </c>
      <c r="G129" s="13" t="s">
        <v>258</v>
      </c>
      <c r="H129" s="14" t="s">
        <v>573</v>
      </c>
      <c r="I129" s="14" t="s">
        <v>279</v>
      </c>
      <c r="J129" s="15">
        <v>288.83</v>
      </c>
      <c r="L129" s="29" t="s">
        <v>643</v>
      </c>
      <c r="M129" s="29" t="s">
        <v>573</v>
      </c>
      <c r="N129" s="30">
        <v>0</v>
      </c>
    </row>
    <row r="130" spans="1:14" ht="15.5">
      <c r="A130" s="9" t="s">
        <v>609</v>
      </c>
      <c r="B130" s="10" t="s">
        <v>610</v>
      </c>
      <c r="C130" s="11" t="s">
        <v>611</v>
      </c>
      <c r="D130" s="12">
        <v>44399</v>
      </c>
      <c r="E130" s="12">
        <v>44399</v>
      </c>
      <c r="F130" s="12"/>
      <c r="G130" s="13" t="s">
        <v>258</v>
      </c>
      <c r="H130" s="14" t="s">
        <v>573</v>
      </c>
      <c r="I130" s="14" t="s">
        <v>279</v>
      </c>
      <c r="J130" s="15">
        <v>288.83</v>
      </c>
      <c r="L130" s="29" t="s">
        <v>646</v>
      </c>
      <c r="M130" s="29" t="s">
        <v>573</v>
      </c>
      <c r="N130" s="30">
        <v>340</v>
      </c>
    </row>
    <row r="131" spans="1:14" ht="15.5">
      <c r="A131" s="9">
        <v>2488</v>
      </c>
      <c r="B131" s="10" t="s">
        <v>612</v>
      </c>
      <c r="C131" s="11" t="s">
        <v>613</v>
      </c>
      <c r="D131" s="12">
        <v>45617</v>
      </c>
      <c r="E131" s="12">
        <v>45617</v>
      </c>
      <c r="F131" s="12"/>
      <c r="G131" s="13" t="s">
        <v>258</v>
      </c>
      <c r="H131" s="14" t="s">
        <v>573</v>
      </c>
      <c r="I131" s="14" t="s">
        <v>279</v>
      </c>
      <c r="J131" s="15">
        <v>288.83</v>
      </c>
      <c r="L131" s="29" t="s">
        <v>660</v>
      </c>
      <c r="M131" s="29" t="s">
        <v>573</v>
      </c>
      <c r="N131" s="30">
        <v>311</v>
      </c>
    </row>
    <row r="132" spans="1:14" ht="15.5">
      <c r="A132" s="9" t="s">
        <v>614</v>
      </c>
      <c r="B132" s="10" t="s">
        <v>615</v>
      </c>
      <c r="C132" s="11" t="s">
        <v>616</v>
      </c>
      <c r="D132" s="12">
        <v>44434</v>
      </c>
      <c r="E132" s="12">
        <v>44434</v>
      </c>
      <c r="F132" s="12"/>
      <c r="G132" s="13" t="s">
        <v>258</v>
      </c>
      <c r="H132" s="14" t="s">
        <v>573</v>
      </c>
      <c r="I132" s="14" t="s">
        <v>279</v>
      </c>
      <c r="J132" s="15">
        <v>288.83</v>
      </c>
      <c r="L132" s="29" t="s">
        <v>649</v>
      </c>
      <c r="M132" s="29" t="s">
        <v>573</v>
      </c>
      <c r="N132" s="30">
        <v>311</v>
      </c>
    </row>
    <row r="133" spans="1:14" ht="15.5">
      <c r="A133" s="9">
        <v>2512</v>
      </c>
      <c r="B133" s="10" t="s">
        <v>617</v>
      </c>
      <c r="C133" s="11" t="s">
        <v>618</v>
      </c>
      <c r="D133" s="12">
        <v>45673</v>
      </c>
      <c r="E133" s="12">
        <v>45673</v>
      </c>
      <c r="F133" s="12"/>
      <c r="G133" s="13" t="s">
        <v>258</v>
      </c>
      <c r="H133" s="14" t="s">
        <v>573</v>
      </c>
      <c r="I133" s="14" t="s">
        <v>279</v>
      </c>
      <c r="J133" s="15">
        <v>288.83</v>
      </c>
      <c r="L133" s="29" t="s">
        <v>652</v>
      </c>
      <c r="M133" s="29" t="s">
        <v>573</v>
      </c>
      <c r="N133" s="30">
        <v>339</v>
      </c>
    </row>
    <row r="134" spans="1:14" ht="15.5">
      <c r="A134" s="9" t="s">
        <v>619</v>
      </c>
      <c r="B134" s="10" t="s">
        <v>620</v>
      </c>
      <c r="C134" s="11" t="s">
        <v>621</v>
      </c>
      <c r="D134" s="12">
        <v>44389</v>
      </c>
      <c r="E134" s="12">
        <v>44389</v>
      </c>
      <c r="F134" s="12"/>
      <c r="G134" s="13" t="s">
        <v>258</v>
      </c>
      <c r="H134" s="14" t="s">
        <v>573</v>
      </c>
      <c r="I134" s="14" t="s">
        <v>279</v>
      </c>
      <c r="J134" s="15">
        <v>288.83</v>
      </c>
      <c r="L134" s="29" t="s">
        <v>515</v>
      </c>
      <c r="M134" s="29" t="s">
        <v>786</v>
      </c>
      <c r="N134" s="30">
        <v>0</v>
      </c>
    </row>
    <row r="135" spans="1:14" ht="15.5">
      <c r="A135" s="9" t="s">
        <v>622</v>
      </c>
      <c r="B135" s="10" t="s">
        <v>623</v>
      </c>
      <c r="C135" s="11" t="s">
        <v>624</v>
      </c>
      <c r="D135" s="17">
        <v>45358</v>
      </c>
      <c r="E135" s="17">
        <v>45358</v>
      </c>
      <c r="F135" s="12"/>
      <c r="G135" s="13" t="s">
        <v>258</v>
      </c>
      <c r="H135" s="14" t="s">
        <v>573</v>
      </c>
      <c r="I135" s="14" t="s">
        <v>279</v>
      </c>
      <c r="J135" s="15">
        <v>288.83</v>
      </c>
      <c r="L135" s="29" t="s">
        <v>518</v>
      </c>
      <c r="M135" s="29" t="s">
        <v>786</v>
      </c>
      <c r="N135" s="30">
        <v>0</v>
      </c>
    </row>
    <row r="136" spans="1:14" ht="15.5">
      <c r="A136" s="9">
        <v>2506</v>
      </c>
      <c r="B136" s="10" t="s">
        <v>625</v>
      </c>
      <c r="C136" s="11" t="s">
        <v>626</v>
      </c>
      <c r="D136" s="12">
        <v>45666</v>
      </c>
      <c r="E136" s="12">
        <v>45666</v>
      </c>
      <c r="F136" s="12"/>
      <c r="G136" s="13" t="s">
        <v>258</v>
      </c>
      <c r="H136" s="14" t="s">
        <v>573</v>
      </c>
      <c r="I136" s="14" t="s">
        <v>279</v>
      </c>
      <c r="J136" s="15">
        <v>288.83</v>
      </c>
      <c r="L136" s="29" t="s">
        <v>521</v>
      </c>
      <c r="M136" s="29" t="s">
        <v>786</v>
      </c>
      <c r="N136" s="30">
        <v>226</v>
      </c>
    </row>
    <row r="137" spans="1:14" ht="15.5">
      <c r="A137" s="9" t="s">
        <v>627</v>
      </c>
      <c r="B137" s="10" t="s">
        <v>628</v>
      </c>
      <c r="C137" s="11" t="s">
        <v>629</v>
      </c>
      <c r="D137" s="16">
        <v>44868</v>
      </c>
      <c r="E137" s="12">
        <v>44867</v>
      </c>
      <c r="F137" s="12"/>
      <c r="G137" s="13" t="s">
        <v>258</v>
      </c>
      <c r="H137" s="14" t="s">
        <v>573</v>
      </c>
      <c r="I137" s="14" t="s">
        <v>279</v>
      </c>
      <c r="J137" s="15">
        <v>288.83</v>
      </c>
      <c r="L137" s="29" t="s">
        <v>512</v>
      </c>
      <c r="M137" s="29" t="s">
        <v>786</v>
      </c>
      <c r="N137" s="30">
        <v>0</v>
      </c>
    </row>
    <row r="138" spans="1:14" ht="15.5">
      <c r="A138" s="9">
        <v>2359</v>
      </c>
      <c r="B138" s="10" t="s">
        <v>630</v>
      </c>
      <c r="C138" s="11" t="s">
        <v>631</v>
      </c>
      <c r="D138" s="12">
        <v>45992</v>
      </c>
      <c r="E138" s="12">
        <v>45992</v>
      </c>
      <c r="F138" s="12"/>
      <c r="G138" s="13" t="s">
        <v>258</v>
      </c>
      <c r="H138" s="14" t="s">
        <v>573</v>
      </c>
      <c r="I138" s="14" t="s">
        <v>279</v>
      </c>
      <c r="J138" s="15">
        <v>288.83</v>
      </c>
      <c r="L138" s="29" t="s">
        <v>524</v>
      </c>
      <c r="M138" s="29" t="s">
        <v>786</v>
      </c>
      <c r="N138" s="30">
        <v>339</v>
      </c>
    </row>
    <row r="139" spans="1:14" ht="15.5">
      <c r="A139" s="9" t="s">
        <v>632</v>
      </c>
      <c r="B139" s="10" t="s">
        <v>633</v>
      </c>
      <c r="C139" s="11">
        <v>72018511757</v>
      </c>
      <c r="D139" s="12">
        <v>44931</v>
      </c>
      <c r="E139" s="12">
        <v>44931</v>
      </c>
      <c r="F139" s="12"/>
      <c r="G139" s="13" t="s">
        <v>258</v>
      </c>
      <c r="H139" s="14" t="s">
        <v>573</v>
      </c>
      <c r="I139" s="14" t="s">
        <v>279</v>
      </c>
      <c r="J139" s="15">
        <v>288.83</v>
      </c>
      <c r="L139" s="29" t="s">
        <v>527</v>
      </c>
      <c r="M139" s="29" t="s">
        <v>786</v>
      </c>
      <c r="N139" s="30">
        <v>311</v>
      </c>
    </row>
    <row r="140" spans="1:14" ht="15.5">
      <c r="A140" s="9" t="s">
        <v>634</v>
      </c>
      <c r="B140" s="10" t="s">
        <v>635</v>
      </c>
      <c r="C140" s="11" t="s">
        <v>636</v>
      </c>
      <c r="D140" s="12">
        <v>45484</v>
      </c>
      <c r="E140" s="12">
        <v>45484</v>
      </c>
      <c r="F140" s="12"/>
      <c r="G140" s="13" t="s">
        <v>258</v>
      </c>
      <c r="H140" s="14" t="s">
        <v>573</v>
      </c>
      <c r="I140" s="14" t="s">
        <v>279</v>
      </c>
      <c r="J140" s="15">
        <v>288.83</v>
      </c>
      <c r="L140" s="29" t="s">
        <v>530</v>
      </c>
      <c r="M140" s="29" t="s">
        <v>786</v>
      </c>
      <c r="N140" s="30">
        <v>0</v>
      </c>
    </row>
    <row r="141" spans="1:14" ht="15.5">
      <c r="A141" s="9" t="s">
        <v>637</v>
      </c>
      <c r="B141" s="10" t="s">
        <v>638</v>
      </c>
      <c r="C141" s="11" t="s">
        <v>639</v>
      </c>
      <c r="D141" s="12">
        <v>45386</v>
      </c>
      <c r="E141" s="12">
        <v>45386</v>
      </c>
      <c r="F141" s="12"/>
      <c r="G141" s="13" t="s">
        <v>258</v>
      </c>
      <c r="H141" s="14" t="s">
        <v>573</v>
      </c>
      <c r="I141" s="14" t="s">
        <v>279</v>
      </c>
      <c r="J141" s="15">
        <v>288.83</v>
      </c>
      <c r="L141" s="29" t="s">
        <v>558</v>
      </c>
      <c r="M141" s="29" t="s">
        <v>786</v>
      </c>
      <c r="N141" s="30">
        <v>226</v>
      </c>
    </row>
    <row r="142" spans="1:14" ht="15.5">
      <c r="A142" s="9" t="s">
        <v>640</v>
      </c>
      <c r="B142" s="10" t="s">
        <v>641</v>
      </c>
      <c r="C142" s="11" t="s">
        <v>642</v>
      </c>
      <c r="D142" s="12">
        <v>43861</v>
      </c>
      <c r="E142" s="12">
        <v>44389</v>
      </c>
      <c r="F142" s="12">
        <v>43861</v>
      </c>
      <c r="G142" s="13" t="s">
        <v>258</v>
      </c>
      <c r="H142" s="14" t="s">
        <v>573</v>
      </c>
      <c r="I142" s="14" t="s">
        <v>279</v>
      </c>
      <c r="J142" s="15">
        <v>288.83</v>
      </c>
      <c r="L142" s="29" t="s">
        <v>533</v>
      </c>
      <c r="M142" s="29" t="s">
        <v>786</v>
      </c>
      <c r="N142" s="30">
        <v>311</v>
      </c>
    </row>
    <row r="143" spans="1:14" ht="15.5">
      <c r="A143" s="9">
        <v>2360</v>
      </c>
      <c r="B143" s="10" t="s">
        <v>643</v>
      </c>
      <c r="C143" s="11" t="s">
        <v>644</v>
      </c>
      <c r="D143" s="12">
        <v>45925</v>
      </c>
      <c r="E143" s="12">
        <v>45925</v>
      </c>
      <c r="F143" s="12"/>
      <c r="G143" s="13" t="s">
        <v>258</v>
      </c>
      <c r="H143" s="14" t="s">
        <v>573</v>
      </c>
      <c r="I143" s="14" t="s">
        <v>279</v>
      </c>
      <c r="J143" s="15">
        <v>288.83</v>
      </c>
      <c r="L143" s="29" t="s">
        <v>560</v>
      </c>
      <c r="M143" s="29" t="s">
        <v>786</v>
      </c>
      <c r="N143" s="30">
        <v>226</v>
      </c>
    </row>
    <row r="144" spans="1:14" ht="15.5">
      <c r="A144" s="9" t="s">
        <v>645</v>
      </c>
      <c r="B144" s="10" t="s">
        <v>646</v>
      </c>
      <c r="C144" s="11" t="s">
        <v>647</v>
      </c>
      <c r="D144" s="12">
        <v>39468</v>
      </c>
      <c r="E144" s="12">
        <v>44389</v>
      </c>
      <c r="F144" s="12">
        <v>39468</v>
      </c>
      <c r="G144" s="13" t="s">
        <v>258</v>
      </c>
      <c r="H144" s="14" t="s">
        <v>573</v>
      </c>
      <c r="I144" s="14" t="s">
        <v>279</v>
      </c>
      <c r="J144" s="15">
        <v>288.83</v>
      </c>
      <c r="L144" s="29" t="s">
        <v>563</v>
      </c>
      <c r="M144" s="29" t="s">
        <v>786</v>
      </c>
      <c r="N144" s="30">
        <v>226</v>
      </c>
    </row>
    <row r="145" spans="1:14" ht="15.5">
      <c r="A145" s="9" t="s">
        <v>648</v>
      </c>
      <c r="B145" s="10" t="s">
        <v>649</v>
      </c>
      <c r="C145" s="11" t="s">
        <v>650</v>
      </c>
      <c r="D145" s="12">
        <v>44420</v>
      </c>
      <c r="E145" s="12">
        <v>44420</v>
      </c>
      <c r="F145" s="12"/>
      <c r="G145" s="13" t="s">
        <v>258</v>
      </c>
      <c r="H145" s="14" t="s">
        <v>573</v>
      </c>
      <c r="I145" s="14" t="s">
        <v>279</v>
      </c>
      <c r="J145" s="15">
        <v>288.83</v>
      </c>
      <c r="L145" s="29" t="s">
        <v>566</v>
      </c>
      <c r="M145" s="29" t="s">
        <v>786</v>
      </c>
      <c r="N145" s="30">
        <v>0</v>
      </c>
    </row>
    <row r="146" spans="1:14" ht="15.5">
      <c r="A146" s="9" t="s">
        <v>651</v>
      </c>
      <c r="B146" s="10" t="s">
        <v>652</v>
      </c>
      <c r="C146" s="11" t="s">
        <v>653</v>
      </c>
      <c r="D146" s="12">
        <v>45435</v>
      </c>
      <c r="E146" s="12">
        <v>45435</v>
      </c>
      <c r="F146" s="12" t="s">
        <v>189</v>
      </c>
      <c r="G146" s="13" t="s">
        <v>258</v>
      </c>
      <c r="H146" s="14" t="s">
        <v>573</v>
      </c>
      <c r="I146" s="14" t="s">
        <v>279</v>
      </c>
      <c r="J146" s="15">
        <v>288.83</v>
      </c>
      <c r="L146" s="29" t="s">
        <v>568</v>
      </c>
      <c r="M146" s="29" t="s">
        <v>786</v>
      </c>
      <c r="N146" s="30">
        <v>311</v>
      </c>
    </row>
    <row r="147" spans="1:14" ht="15.5">
      <c r="A147" s="9" t="s">
        <v>654</v>
      </c>
      <c r="B147" s="10" t="s">
        <v>655</v>
      </c>
      <c r="C147" s="11" t="s">
        <v>656</v>
      </c>
      <c r="D147" s="12">
        <v>42299</v>
      </c>
      <c r="E147" s="12">
        <v>44389</v>
      </c>
      <c r="F147" s="12">
        <v>42299</v>
      </c>
      <c r="G147" s="13" t="s">
        <v>258</v>
      </c>
      <c r="H147" s="14" t="s">
        <v>573</v>
      </c>
      <c r="I147" s="14" t="s">
        <v>355</v>
      </c>
      <c r="J147" s="15">
        <v>289.24</v>
      </c>
      <c r="L147" s="29" t="s">
        <v>535</v>
      </c>
      <c r="M147" s="29" t="s">
        <v>786</v>
      </c>
      <c r="N147" s="30">
        <v>226</v>
      </c>
    </row>
    <row r="148" spans="1:14" ht="15.5">
      <c r="A148" s="9" t="s">
        <v>657</v>
      </c>
      <c r="B148" s="10" t="s">
        <v>658</v>
      </c>
      <c r="C148" s="11">
        <v>72096700355</v>
      </c>
      <c r="D148" s="12">
        <v>44728</v>
      </c>
      <c r="E148" s="12">
        <v>44728</v>
      </c>
      <c r="F148" s="12"/>
      <c r="G148" s="13" t="s">
        <v>258</v>
      </c>
      <c r="H148" s="14" t="s">
        <v>573</v>
      </c>
      <c r="I148" s="14" t="s">
        <v>355</v>
      </c>
      <c r="J148" s="15">
        <v>289.24</v>
      </c>
      <c r="L148" s="29" t="s">
        <v>538</v>
      </c>
      <c r="M148" s="29" t="s">
        <v>786</v>
      </c>
      <c r="N148" s="30">
        <v>453</v>
      </c>
    </row>
    <row r="149" spans="1:14" ht="15.5">
      <c r="A149" s="9" t="s">
        <v>659</v>
      </c>
      <c r="B149" s="10" t="s">
        <v>660</v>
      </c>
      <c r="C149" s="11">
        <v>72958101833</v>
      </c>
      <c r="D149" s="12">
        <v>45141</v>
      </c>
      <c r="E149" s="12">
        <v>45141</v>
      </c>
      <c r="F149" s="12"/>
      <c r="G149" s="13" t="s">
        <v>258</v>
      </c>
      <c r="H149" s="14" t="s">
        <v>573</v>
      </c>
      <c r="I149" s="14" t="s">
        <v>355</v>
      </c>
      <c r="J149" s="15">
        <v>289.24</v>
      </c>
      <c r="L149" s="29" t="s">
        <v>541</v>
      </c>
      <c r="M149" s="29" t="s">
        <v>786</v>
      </c>
      <c r="N149" s="30">
        <v>0</v>
      </c>
    </row>
    <row r="150" spans="1:14" ht="15.5">
      <c r="A150" s="9">
        <v>2492</v>
      </c>
      <c r="B150" s="10" t="s">
        <v>661</v>
      </c>
      <c r="C150" s="11" t="s">
        <v>662</v>
      </c>
      <c r="D150" s="12">
        <v>45603</v>
      </c>
      <c r="E150" s="12">
        <v>45603</v>
      </c>
      <c r="F150" s="12"/>
      <c r="G150" s="13" t="s">
        <v>258</v>
      </c>
      <c r="H150" s="14" t="s">
        <v>663</v>
      </c>
      <c r="I150" s="14" t="s">
        <v>279</v>
      </c>
      <c r="J150" s="15">
        <v>288.83</v>
      </c>
      <c r="L150" s="29" t="s">
        <v>544</v>
      </c>
      <c r="M150" s="29" t="s">
        <v>786</v>
      </c>
      <c r="N150" s="30">
        <v>0</v>
      </c>
    </row>
    <row r="151" spans="1:14" ht="15.5">
      <c r="A151" s="9" t="s">
        <v>664</v>
      </c>
      <c r="B151" s="10" t="s">
        <v>665</v>
      </c>
      <c r="C151" s="11">
        <v>72109125947</v>
      </c>
      <c r="D151" s="12">
        <v>44777</v>
      </c>
      <c r="E151" s="12">
        <v>44777</v>
      </c>
      <c r="F151" s="12"/>
      <c r="G151" s="13" t="s">
        <v>258</v>
      </c>
      <c r="H151" s="14" t="s">
        <v>666</v>
      </c>
      <c r="I151" s="14" t="s">
        <v>83</v>
      </c>
      <c r="J151" s="15">
        <v>280</v>
      </c>
      <c r="L151" s="29" t="s">
        <v>546</v>
      </c>
      <c r="M151" s="29" t="s">
        <v>786</v>
      </c>
      <c r="N151" s="30">
        <v>0</v>
      </c>
    </row>
    <row r="152" spans="1:14" ht="15.5">
      <c r="A152" s="9" t="s">
        <v>667</v>
      </c>
      <c r="B152" s="10" t="s">
        <v>668</v>
      </c>
      <c r="C152" s="11" t="s">
        <v>669</v>
      </c>
      <c r="D152" s="12">
        <v>45113</v>
      </c>
      <c r="E152" s="12">
        <v>45113</v>
      </c>
      <c r="F152" s="12"/>
      <c r="G152" s="13" t="s">
        <v>258</v>
      </c>
      <c r="H152" s="14" t="s">
        <v>666</v>
      </c>
      <c r="I152" s="14" t="s">
        <v>83</v>
      </c>
      <c r="J152" s="15">
        <v>280</v>
      </c>
      <c r="L152" s="29" t="s">
        <v>549</v>
      </c>
      <c r="M152" s="29" t="s">
        <v>786</v>
      </c>
      <c r="N152" s="30">
        <v>311</v>
      </c>
    </row>
    <row r="153" spans="1:14" ht="15.5">
      <c r="A153" s="9">
        <v>2670</v>
      </c>
      <c r="B153" s="10" t="s">
        <v>670</v>
      </c>
      <c r="C153" s="11" t="s">
        <v>671</v>
      </c>
      <c r="D153" s="12">
        <v>45960</v>
      </c>
      <c r="E153" s="12">
        <v>45960</v>
      </c>
      <c r="F153" s="12"/>
      <c r="G153" s="13" t="s">
        <v>258</v>
      </c>
      <c r="H153" s="14" t="s">
        <v>666</v>
      </c>
      <c r="I153" s="14" t="s">
        <v>83</v>
      </c>
      <c r="J153" s="15">
        <v>280</v>
      </c>
      <c r="L153" s="29" t="s">
        <v>552</v>
      </c>
      <c r="M153" s="29" t="s">
        <v>786</v>
      </c>
      <c r="N153" s="30">
        <v>226</v>
      </c>
    </row>
    <row r="154" spans="1:14" ht="15.5">
      <c r="A154" s="9" t="s">
        <v>672</v>
      </c>
      <c r="B154" s="10" t="s">
        <v>673</v>
      </c>
      <c r="C154" s="11" t="s">
        <v>674</v>
      </c>
      <c r="D154" s="12">
        <v>45260</v>
      </c>
      <c r="E154" s="12">
        <v>45260</v>
      </c>
      <c r="F154" s="12"/>
      <c r="G154" s="13" t="s">
        <v>258</v>
      </c>
      <c r="H154" s="14" t="s">
        <v>666</v>
      </c>
      <c r="I154" s="14" t="s">
        <v>83</v>
      </c>
      <c r="J154" s="15">
        <v>280</v>
      </c>
      <c r="L154" s="29" t="s">
        <v>555</v>
      </c>
      <c r="M154" s="29" t="s">
        <v>786</v>
      </c>
      <c r="N154" s="30">
        <v>509</v>
      </c>
    </row>
    <row r="155" spans="1:14" ht="15.5">
      <c r="A155" s="9" t="s">
        <v>675</v>
      </c>
      <c r="B155" s="10" t="s">
        <v>676</v>
      </c>
      <c r="C155" s="11" t="s">
        <v>677</v>
      </c>
      <c r="D155" s="12">
        <v>45540</v>
      </c>
      <c r="E155" s="12">
        <v>45540</v>
      </c>
      <c r="F155" s="12"/>
      <c r="G155" s="13" t="s">
        <v>258</v>
      </c>
      <c r="H155" s="14" t="s">
        <v>666</v>
      </c>
      <c r="I155" s="14" t="s">
        <v>83</v>
      </c>
      <c r="J155" s="15">
        <v>280</v>
      </c>
      <c r="L155" s="29" t="s">
        <v>665</v>
      </c>
      <c r="M155" s="29" t="s">
        <v>787</v>
      </c>
      <c r="N155" s="30">
        <v>226</v>
      </c>
    </row>
    <row r="156" spans="1:14" ht="15.5">
      <c r="A156" s="9">
        <v>2662</v>
      </c>
      <c r="B156" s="10" t="s">
        <v>678</v>
      </c>
      <c r="C156" s="11" t="s">
        <v>679</v>
      </c>
      <c r="D156" s="12">
        <v>45946</v>
      </c>
      <c r="E156" s="12">
        <v>45946</v>
      </c>
      <c r="F156" s="12"/>
      <c r="G156" s="13" t="s">
        <v>258</v>
      </c>
      <c r="H156" s="14" t="s">
        <v>666</v>
      </c>
      <c r="I156" s="14" t="s">
        <v>83</v>
      </c>
      <c r="J156" s="15">
        <v>280</v>
      </c>
      <c r="L156" s="29" t="s">
        <v>668</v>
      </c>
      <c r="M156" s="29" t="s">
        <v>787</v>
      </c>
      <c r="N156" s="30">
        <v>0</v>
      </c>
    </row>
    <row r="157" spans="1:14" ht="15.5">
      <c r="A157" s="9" t="s">
        <v>680</v>
      </c>
      <c r="B157" s="10" t="s">
        <v>681</v>
      </c>
      <c r="C157" s="11">
        <v>72138002034</v>
      </c>
      <c r="D157" s="12">
        <v>44756</v>
      </c>
      <c r="E157" s="12">
        <v>44756</v>
      </c>
      <c r="F157" s="12"/>
      <c r="G157" s="13" t="s">
        <v>258</v>
      </c>
      <c r="H157" s="14" t="s">
        <v>666</v>
      </c>
      <c r="I157" s="14" t="s">
        <v>83</v>
      </c>
      <c r="J157" s="15">
        <v>280</v>
      </c>
      <c r="L157" s="29" t="s">
        <v>697</v>
      </c>
      <c r="M157" s="29" t="s">
        <v>787</v>
      </c>
      <c r="N157" s="30">
        <v>311</v>
      </c>
    </row>
    <row r="158" spans="1:14" ht="15.5">
      <c r="A158" s="9">
        <v>2519</v>
      </c>
      <c r="B158" s="10" t="s">
        <v>682</v>
      </c>
      <c r="C158" s="11" t="s">
        <v>683</v>
      </c>
      <c r="D158" s="12">
        <v>45673</v>
      </c>
      <c r="E158" s="12">
        <v>45673</v>
      </c>
      <c r="F158" s="12"/>
      <c r="G158" s="13" t="s">
        <v>258</v>
      </c>
      <c r="H158" s="14" t="s">
        <v>666</v>
      </c>
      <c r="I158" s="14" t="s">
        <v>83</v>
      </c>
      <c r="J158" s="15">
        <v>280</v>
      </c>
      <c r="L158" s="29" t="s">
        <v>788</v>
      </c>
      <c r="M158" s="29" t="s">
        <v>787</v>
      </c>
      <c r="N158" s="30">
        <v>0</v>
      </c>
    </row>
    <row r="159" spans="1:14" ht="15.5">
      <c r="A159" s="9" t="s">
        <v>684</v>
      </c>
      <c r="B159" s="10" t="s">
        <v>685</v>
      </c>
      <c r="C159" s="11" t="s">
        <v>686</v>
      </c>
      <c r="D159" s="12">
        <v>45421</v>
      </c>
      <c r="E159" s="12">
        <v>45421</v>
      </c>
      <c r="F159" s="12"/>
      <c r="G159" s="13" t="s">
        <v>258</v>
      </c>
      <c r="H159" s="14" t="s">
        <v>666</v>
      </c>
      <c r="I159" s="14" t="s">
        <v>83</v>
      </c>
      <c r="J159" s="15">
        <v>280</v>
      </c>
      <c r="L159" s="29" t="s">
        <v>699</v>
      </c>
      <c r="M159" s="29" t="s">
        <v>787</v>
      </c>
      <c r="N159" s="30">
        <v>0</v>
      </c>
    </row>
    <row r="160" spans="1:14" ht="15.5">
      <c r="A160" s="9" t="s">
        <v>687</v>
      </c>
      <c r="B160" s="10" t="s">
        <v>688</v>
      </c>
      <c r="C160" s="11">
        <v>56190383077</v>
      </c>
      <c r="D160" s="12">
        <v>45043</v>
      </c>
      <c r="E160" s="12">
        <v>45043</v>
      </c>
      <c r="F160" s="12"/>
      <c r="G160" s="13" t="s">
        <v>258</v>
      </c>
      <c r="H160" s="14" t="s">
        <v>666</v>
      </c>
      <c r="I160" s="14" t="s">
        <v>83</v>
      </c>
      <c r="J160" s="15">
        <v>280</v>
      </c>
      <c r="L160" s="29" t="s">
        <v>702</v>
      </c>
      <c r="M160" s="29" t="s">
        <v>787</v>
      </c>
      <c r="N160" s="30">
        <v>0</v>
      </c>
    </row>
    <row r="161" spans="1:14" ht="15.5">
      <c r="A161" s="9" t="s">
        <v>689</v>
      </c>
      <c r="B161" s="10" t="s">
        <v>690</v>
      </c>
      <c r="C161" s="11">
        <v>56160146280</v>
      </c>
      <c r="D161" s="12">
        <v>44567</v>
      </c>
      <c r="E161" s="12">
        <v>44567</v>
      </c>
      <c r="F161" s="12"/>
      <c r="G161" s="13" t="s">
        <v>258</v>
      </c>
      <c r="H161" s="14" t="s">
        <v>666</v>
      </c>
      <c r="I161" s="14" t="s">
        <v>83</v>
      </c>
      <c r="J161" s="15">
        <v>280</v>
      </c>
      <c r="L161" s="29" t="s">
        <v>704</v>
      </c>
      <c r="M161" s="29" t="s">
        <v>787</v>
      </c>
      <c r="N161" s="30">
        <v>0</v>
      </c>
    </row>
    <row r="162" spans="1:14" ht="15.5">
      <c r="A162" s="9" t="s">
        <v>691</v>
      </c>
      <c r="B162" s="10" t="s">
        <v>692</v>
      </c>
      <c r="C162" s="11" t="s">
        <v>693</v>
      </c>
      <c r="D162" s="12">
        <v>45596</v>
      </c>
      <c r="E162" s="12">
        <v>45596</v>
      </c>
      <c r="F162" s="12"/>
      <c r="G162" s="13" t="s">
        <v>258</v>
      </c>
      <c r="H162" s="14" t="s">
        <v>666</v>
      </c>
      <c r="I162" s="14" t="s">
        <v>83</v>
      </c>
      <c r="J162" s="15">
        <v>280</v>
      </c>
      <c r="L162" s="29" t="s">
        <v>757</v>
      </c>
      <c r="M162" s="29" t="s">
        <v>787</v>
      </c>
      <c r="N162" s="30">
        <v>0</v>
      </c>
    </row>
    <row r="163" spans="1:14" ht="15.5">
      <c r="A163" s="9">
        <v>2642</v>
      </c>
      <c r="B163" s="10" t="s">
        <v>694</v>
      </c>
      <c r="C163" s="11" t="s">
        <v>695</v>
      </c>
      <c r="D163" s="12">
        <v>45904</v>
      </c>
      <c r="E163" s="12">
        <v>45904</v>
      </c>
      <c r="F163" s="12"/>
      <c r="G163" s="13" t="s">
        <v>258</v>
      </c>
      <c r="H163" s="14" t="s">
        <v>666</v>
      </c>
      <c r="I163" s="14" t="s">
        <v>83</v>
      </c>
      <c r="J163" s="15">
        <v>280</v>
      </c>
      <c r="L163" s="29" t="s">
        <v>707</v>
      </c>
      <c r="M163" s="29" t="s">
        <v>787</v>
      </c>
      <c r="N163" s="30">
        <v>453</v>
      </c>
    </row>
    <row r="164" spans="1:14" ht="15.5">
      <c r="A164" s="9" t="s">
        <v>696</v>
      </c>
      <c r="B164" s="10" t="s">
        <v>697</v>
      </c>
      <c r="C164" s="11" t="s">
        <v>698</v>
      </c>
      <c r="D164" s="12">
        <v>45029</v>
      </c>
      <c r="E164" s="12">
        <v>45029</v>
      </c>
      <c r="F164" s="12"/>
      <c r="G164" s="13" t="s">
        <v>258</v>
      </c>
      <c r="H164" s="14" t="s">
        <v>666</v>
      </c>
      <c r="I164" s="14" t="s">
        <v>279</v>
      </c>
      <c r="J164" s="15">
        <v>288.83</v>
      </c>
      <c r="L164" s="29" t="s">
        <v>670</v>
      </c>
      <c r="M164" s="29" t="s">
        <v>787</v>
      </c>
      <c r="N164" s="30">
        <v>0</v>
      </c>
    </row>
    <row r="165" spans="1:14" ht="15.5">
      <c r="A165" s="9">
        <v>2647</v>
      </c>
      <c r="B165" s="10" t="s">
        <v>699</v>
      </c>
      <c r="C165" s="11" t="s">
        <v>700</v>
      </c>
      <c r="D165" s="12">
        <v>45918</v>
      </c>
      <c r="E165" s="12">
        <v>45918</v>
      </c>
      <c r="F165" s="12"/>
      <c r="G165" s="13" t="s">
        <v>258</v>
      </c>
      <c r="H165" s="14" t="s">
        <v>666</v>
      </c>
      <c r="I165" s="14" t="s">
        <v>279</v>
      </c>
      <c r="J165" s="15">
        <v>280</v>
      </c>
      <c r="L165" s="29" t="s">
        <v>709</v>
      </c>
      <c r="M165" s="29" t="s">
        <v>787</v>
      </c>
      <c r="N165" s="30">
        <v>0</v>
      </c>
    </row>
    <row r="166" spans="1:14" ht="15.5">
      <c r="A166" s="9" t="s">
        <v>701</v>
      </c>
      <c r="B166" s="10" t="s">
        <v>702</v>
      </c>
      <c r="C166" s="11">
        <v>10180100199</v>
      </c>
      <c r="D166" s="12">
        <v>44819</v>
      </c>
      <c r="E166" s="12">
        <v>44819</v>
      </c>
      <c r="F166" s="12"/>
      <c r="G166" s="13" t="s">
        <v>258</v>
      </c>
      <c r="H166" s="14" t="s">
        <v>666</v>
      </c>
      <c r="I166" s="14" t="s">
        <v>279</v>
      </c>
      <c r="J166" s="15">
        <v>288.83</v>
      </c>
      <c r="L166" s="29" t="s">
        <v>673</v>
      </c>
      <c r="M166" s="29" t="s">
        <v>787</v>
      </c>
      <c r="N166" s="30">
        <v>113</v>
      </c>
    </row>
    <row r="167" spans="1:14" ht="15.5">
      <c r="A167" s="9" t="s">
        <v>703</v>
      </c>
      <c r="B167" s="10" t="s">
        <v>704</v>
      </c>
      <c r="C167" s="11" t="s">
        <v>705</v>
      </c>
      <c r="D167" s="12">
        <v>45449</v>
      </c>
      <c r="E167" s="12">
        <v>45449</v>
      </c>
      <c r="F167" s="12"/>
      <c r="G167" s="13" t="s">
        <v>258</v>
      </c>
      <c r="H167" s="14" t="s">
        <v>666</v>
      </c>
      <c r="I167" s="14" t="s">
        <v>279</v>
      </c>
      <c r="J167" s="15">
        <v>288.83</v>
      </c>
      <c r="L167" s="29" t="s">
        <v>759</v>
      </c>
      <c r="M167" s="29" t="s">
        <v>787</v>
      </c>
      <c r="N167" s="30">
        <v>0</v>
      </c>
    </row>
    <row r="168" spans="1:14" ht="15.5">
      <c r="A168" s="9" t="s">
        <v>706</v>
      </c>
      <c r="B168" s="10" t="s">
        <v>707</v>
      </c>
      <c r="C168" s="11" t="s">
        <v>708</v>
      </c>
      <c r="D168" s="12">
        <v>42598</v>
      </c>
      <c r="E168" s="12">
        <v>44389</v>
      </c>
      <c r="F168" s="12">
        <v>42598</v>
      </c>
      <c r="G168" s="13" t="s">
        <v>258</v>
      </c>
      <c r="H168" s="14" t="s">
        <v>666</v>
      </c>
      <c r="I168" s="14" t="s">
        <v>279</v>
      </c>
      <c r="J168" s="15">
        <v>288.83</v>
      </c>
      <c r="L168" s="29" t="s">
        <v>676</v>
      </c>
      <c r="M168" s="29" t="s">
        <v>787</v>
      </c>
      <c r="N168" s="30">
        <v>226</v>
      </c>
    </row>
    <row r="169" spans="1:14" ht="15.5">
      <c r="A169" s="9">
        <v>2536</v>
      </c>
      <c r="B169" s="10" t="s">
        <v>709</v>
      </c>
      <c r="C169" s="11" t="s">
        <v>710</v>
      </c>
      <c r="D169" s="12">
        <v>45960</v>
      </c>
      <c r="E169" s="12">
        <v>45960</v>
      </c>
      <c r="F169" s="12"/>
      <c r="G169" s="13" t="s">
        <v>258</v>
      </c>
      <c r="H169" s="14" t="s">
        <v>666</v>
      </c>
      <c r="I169" s="14" t="s">
        <v>279</v>
      </c>
      <c r="J169" s="15">
        <v>288.83</v>
      </c>
      <c r="L169" s="29" t="s">
        <v>762</v>
      </c>
      <c r="M169" s="29" t="s">
        <v>787</v>
      </c>
      <c r="N169" s="30">
        <v>397</v>
      </c>
    </row>
    <row r="170" spans="1:14" ht="15.5">
      <c r="A170" s="9" t="s">
        <v>711</v>
      </c>
      <c r="B170" s="10" t="s">
        <v>712</v>
      </c>
      <c r="C170" s="11">
        <v>72968034313</v>
      </c>
      <c r="D170" s="12">
        <v>44672</v>
      </c>
      <c r="E170" s="12">
        <v>44672</v>
      </c>
      <c r="F170" s="12"/>
      <c r="G170" s="13" t="s">
        <v>258</v>
      </c>
      <c r="H170" s="14" t="s">
        <v>666</v>
      </c>
      <c r="I170" s="14" t="s">
        <v>279</v>
      </c>
      <c r="J170" s="15">
        <v>288.83</v>
      </c>
      <c r="L170" s="29" t="s">
        <v>712</v>
      </c>
      <c r="M170" s="29" t="s">
        <v>787</v>
      </c>
      <c r="N170" s="30">
        <v>509</v>
      </c>
    </row>
    <row r="171" spans="1:14" ht="15.5">
      <c r="A171" s="9" t="s">
        <v>713</v>
      </c>
      <c r="B171" s="10" t="s">
        <v>714</v>
      </c>
      <c r="C171" s="11" t="s">
        <v>715</v>
      </c>
      <c r="D171" s="12">
        <v>43475</v>
      </c>
      <c r="E171" s="12">
        <v>44389</v>
      </c>
      <c r="F171" s="12">
        <v>43475</v>
      </c>
      <c r="G171" s="13" t="s">
        <v>258</v>
      </c>
      <c r="H171" s="14" t="s">
        <v>666</v>
      </c>
      <c r="I171" s="14" t="s">
        <v>279</v>
      </c>
      <c r="J171" s="15">
        <v>288.83</v>
      </c>
      <c r="L171" s="29" t="s">
        <v>714</v>
      </c>
      <c r="M171" s="29" t="s">
        <v>787</v>
      </c>
      <c r="N171" s="30">
        <v>0</v>
      </c>
    </row>
    <row r="172" spans="1:14" ht="15.5">
      <c r="A172" s="9" t="s">
        <v>716</v>
      </c>
      <c r="B172" s="10" t="s">
        <v>717</v>
      </c>
      <c r="C172" s="11" t="s">
        <v>718</v>
      </c>
      <c r="D172" s="12">
        <v>43291</v>
      </c>
      <c r="E172" s="12">
        <v>44389</v>
      </c>
      <c r="F172" s="12">
        <v>43291</v>
      </c>
      <c r="G172" s="13" t="s">
        <v>258</v>
      </c>
      <c r="H172" s="14" t="s">
        <v>666</v>
      </c>
      <c r="I172" s="14" t="s">
        <v>279</v>
      </c>
      <c r="J172" s="15">
        <v>288.83</v>
      </c>
      <c r="L172" s="29" t="s">
        <v>717</v>
      </c>
      <c r="M172" s="29" t="s">
        <v>787</v>
      </c>
      <c r="N172" s="30">
        <v>226</v>
      </c>
    </row>
    <row r="173" spans="1:14" ht="15.5">
      <c r="A173" s="9" t="s">
        <v>719</v>
      </c>
      <c r="B173" s="10" t="s">
        <v>720</v>
      </c>
      <c r="C173" s="11">
        <v>19210223715</v>
      </c>
      <c r="D173" s="12">
        <v>44707</v>
      </c>
      <c r="E173" s="12">
        <v>44707</v>
      </c>
      <c r="F173" s="12"/>
      <c r="G173" s="13" t="s">
        <v>258</v>
      </c>
      <c r="H173" s="14" t="s">
        <v>666</v>
      </c>
      <c r="I173" s="14" t="s">
        <v>279</v>
      </c>
      <c r="J173" s="15">
        <v>288.83</v>
      </c>
      <c r="L173" s="29" t="s">
        <v>764</v>
      </c>
      <c r="M173" s="29" t="s">
        <v>787</v>
      </c>
      <c r="N173" s="30">
        <v>340</v>
      </c>
    </row>
    <row r="174" spans="1:14" ht="15.5">
      <c r="A174" s="9" t="s">
        <v>721</v>
      </c>
      <c r="B174" s="10" t="s">
        <v>722</v>
      </c>
      <c r="C174" s="11" t="s">
        <v>723</v>
      </c>
      <c r="D174" s="12">
        <v>45204</v>
      </c>
      <c r="E174" s="12">
        <v>45204</v>
      </c>
      <c r="F174" s="12"/>
      <c r="G174" s="13" t="s">
        <v>258</v>
      </c>
      <c r="H174" s="14" t="s">
        <v>666</v>
      </c>
      <c r="I174" s="14" t="s">
        <v>279</v>
      </c>
      <c r="J174" s="15">
        <v>288.83</v>
      </c>
      <c r="L174" s="29" t="s">
        <v>720</v>
      </c>
      <c r="M174" s="29" t="s">
        <v>787</v>
      </c>
      <c r="N174" s="30">
        <v>0</v>
      </c>
    </row>
    <row r="175" spans="1:14" ht="15.5">
      <c r="A175" s="9" t="s">
        <v>724</v>
      </c>
      <c r="B175" s="10" t="s">
        <v>725</v>
      </c>
      <c r="C175" s="11">
        <v>72129403175</v>
      </c>
      <c r="D175" s="12">
        <v>40974</v>
      </c>
      <c r="E175" s="12">
        <v>44389</v>
      </c>
      <c r="F175" s="12">
        <v>40974</v>
      </c>
      <c r="G175" s="13" t="s">
        <v>258</v>
      </c>
      <c r="H175" s="14" t="s">
        <v>666</v>
      </c>
      <c r="I175" s="14" t="s">
        <v>279</v>
      </c>
      <c r="J175" s="15">
        <v>288.83</v>
      </c>
      <c r="L175" s="29" t="s">
        <v>722</v>
      </c>
      <c r="M175" s="29" t="s">
        <v>787</v>
      </c>
      <c r="N175" s="30">
        <v>226</v>
      </c>
    </row>
    <row r="176" spans="1:14" ht="15.5">
      <c r="A176" s="9" t="s">
        <v>726</v>
      </c>
      <c r="B176" s="10" t="s">
        <v>727</v>
      </c>
      <c r="C176" s="11" t="s">
        <v>728</v>
      </c>
      <c r="D176" s="12">
        <v>45316</v>
      </c>
      <c r="E176" s="12">
        <v>45316</v>
      </c>
      <c r="F176" s="12"/>
      <c r="G176" s="13" t="s">
        <v>258</v>
      </c>
      <c r="H176" s="14" t="s">
        <v>666</v>
      </c>
      <c r="I176" s="14" t="s">
        <v>279</v>
      </c>
      <c r="J176" s="15">
        <v>288.83</v>
      </c>
      <c r="L176" s="29" t="s">
        <v>725</v>
      </c>
      <c r="M176" s="29" t="s">
        <v>787</v>
      </c>
      <c r="N176" s="30">
        <v>0</v>
      </c>
    </row>
    <row r="177" spans="1:14" ht="15.5">
      <c r="A177" s="9" t="s">
        <v>729</v>
      </c>
      <c r="B177" s="10" t="s">
        <v>730</v>
      </c>
      <c r="C177" s="11" t="s">
        <v>731</v>
      </c>
      <c r="D177" s="12">
        <v>45204</v>
      </c>
      <c r="E177" s="12">
        <v>45204</v>
      </c>
      <c r="F177" s="12"/>
      <c r="G177" s="13" t="s">
        <v>258</v>
      </c>
      <c r="H177" s="14" t="s">
        <v>666</v>
      </c>
      <c r="I177" s="14" t="s">
        <v>279</v>
      </c>
      <c r="J177" s="15">
        <v>288.83</v>
      </c>
      <c r="L177" s="29" t="s">
        <v>789</v>
      </c>
      <c r="M177" s="29" t="s">
        <v>787</v>
      </c>
      <c r="N177" s="30">
        <v>0</v>
      </c>
    </row>
    <row r="178" spans="1:14" ht="15.5">
      <c r="A178" s="9" t="s">
        <v>732</v>
      </c>
      <c r="B178" s="10" t="s">
        <v>733</v>
      </c>
      <c r="C178" s="11" t="s">
        <v>734</v>
      </c>
      <c r="D178" s="12">
        <v>45232</v>
      </c>
      <c r="E178" s="12">
        <v>45232</v>
      </c>
      <c r="F178" s="12"/>
      <c r="G178" s="13" t="s">
        <v>258</v>
      </c>
      <c r="H178" s="14" t="s">
        <v>666</v>
      </c>
      <c r="I178" s="14" t="s">
        <v>279</v>
      </c>
      <c r="J178" s="15">
        <v>288.83</v>
      </c>
      <c r="L178" s="29" t="s">
        <v>678</v>
      </c>
      <c r="M178" s="29" t="s">
        <v>787</v>
      </c>
      <c r="N178" s="30">
        <v>0</v>
      </c>
    </row>
    <row r="179" spans="1:14" ht="15.5">
      <c r="A179" s="9">
        <v>2515</v>
      </c>
      <c r="B179" s="10" t="s">
        <v>735</v>
      </c>
      <c r="C179" s="11" t="s">
        <v>736</v>
      </c>
      <c r="D179" s="12">
        <v>45673</v>
      </c>
      <c r="E179" s="12">
        <v>45673</v>
      </c>
      <c r="F179" s="12"/>
      <c r="G179" s="13" t="s">
        <v>258</v>
      </c>
      <c r="H179" s="14" t="s">
        <v>666</v>
      </c>
      <c r="I179" s="14" t="s">
        <v>279</v>
      </c>
      <c r="J179" s="15">
        <v>288.83</v>
      </c>
      <c r="L179" s="29" t="s">
        <v>681</v>
      </c>
      <c r="M179" s="29" t="s">
        <v>787</v>
      </c>
      <c r="N179" s="30">
        <v>113</v>
      </c>
    </row>
    <row r="180" spans="1:14" ht="15.5">
      <c r="A180" s="9" t="s">
        <v>737</v>
      </c>
      <c r="B180" s="10" t="s">
        <v>738</v>
      </c>
      <c r="C180" s="11" t="s">
        <v>739</v>
      </c>
      <c r="D180" s="12">
        <v>45533</v>
      </c>
      <c r="E180" s="12">
        <v>45533</v>
      </c>
      <c r="F180" s="12"/>
      <c r="G180" s="13" t="s">
        <v>258</v>
      </c>
      <c r="H180" s="14" t="s">
        <v>666</v>
      </c>
      <c r="I180" s="14" t="s">
        <v>279</v>
      </c>
      <c r="J180" s="15">
        <v>288.83</v>
      </c>
      <c r="L180" s="29" t="s">
        <v>767</v>
      </c>
      <c r="M180" s="29" t="s">
        <v>787</v>
      </c>
      <c r="N180" s="30">
        <v>0</v>
      </c>
    </row>
    <row r="181" spans="1:14" ht="15.5">
      <c r="A181" s="9">
        <v>2504</v>
      </c>
      <c r="B181" s="10" t="s">
        <v>740</v>
      </c>
      <c r="C181" s="11" t="s">
        <v>741</v>
      </c>
      <c r="D181" s="12">
        <v>45666</v>
      </c>
      <c r="E181" s="12">
        <v>45666</v>
      </c>
      <c r="F181" s="12"/>
      <c r="G181" s="13" t="s">
        <v>258</v>
      </c>
      <c r="H181" s="14" t="s">
        <v>666</v>
      </c>
      <c r="I181" s="14" t="s">
        <v>279</v>
      </c>
      <c r="J181" s="15">
        <v>288.83</v>
      </c>
      <c r="L181" s="29" t="s">
        <v>730</v>
      </c>
      <c r="M181" s="29" t="s">
        <v>787</v>
      </c>
      <c r="N181" s="30">
        <v>340</v>
      </c>
    </row>
    <row r="182" spans="1:14" ht="15.5">
      <c r="A182" s="9" t="s">
        <v>742</v>
      </c>
      <c r="B182" s="10" t="s">
        <v>743</v>
      </c>
      <c r="C182" s="11">
        <v>72088701460</v>
      </c>
      <c r="D182" s="12">
        <v>44777</v>
      </c>
      <c r="E182" s="12">
        <v>44777</v>
      </c>
      <c r="F182" s="12"/>
      <c r="G182" s="13" t="s">
        <v>258</v>
      </c>
      <c r="H182" s="14" t="s">
        <v>666</v>
      </c>
      <c r="I182" s="14" t="s">
        <v>279</v>
      </c>
      <c r="J182" s="15">
        <v>288.83</v>
      </c>
      <c r="L182" s="29" t="s">
        <v>682</v>
      </c>
      <c r="M182" s="29" t="s">
        <v>787</v>
      </c>
      <c r="N182" s="30">
        <v>0</v>
      </c>
    </row>
    <row r="183" spans="1:14" ht="15.5">
      <c r="A183" s="9" t="s">
        <v>744</v>
      </c>
      <c r="B183" s="10" t="s">
        <v>745</v>
      </c>
      <c r="C183" s="11" t="s">
        <v>746</v>
      </c>
      <c r="D183" s="12">
        <v>44389</v>
      </c>
      <c r="E183" s="12">
        <v>44389</v>
      </c>
      <c r="F183" s="12"/>
      <c r="G183" s="13" t="s">
        <v>258</v>
      </c>
      <c r="H183" s="14" t="s">
        <v>666</v>
      </c>
      <c r="I183" s="14" t="s">
        <v>279</v>
      </c>
      <c r="J183" s="15">
        <v>288.83</v>
      </c>
      <c r="L183" s="29" t="s">
        <v>733</v>
      </c>
      <c r="M183" s="29" t="s">
        <v>787</v>
      </c>
      <c r="N183" s="30">
        <v>340</v>
      </c>
    </row>
    <row r="184" spans="1:14" ht="15.5">
      <c r="A184" s="9">
        <v>2644</v>
      </c>
      <c r="B184" s="10" t="s">
        <v>747</v>
      </c>
      <c r="C184" s="11" t="s">
        <v>748</v>
      </c>
      <c r="D184" s="12">
        <v>45911</v>
      </c>
      <c r="E184" s="12">
        <v>45911</v>
      </c>
      <c r="F184" s="12"/>
      <c r="G184" s="13" t="s">
        <v>258</v>
      </c>
      <c r="H184" s="14" t="s">
        <v>666</v>
      </c>
      <c r="I184" s="14" t="s">
        <v>279</v>
      </c>
      <c r="J184" s="15">
        <v>288.83</v>
      </c>
      <c r="L184" s="29" t="s">
        <v>735</v>
      </c>
      <c r="M184" s="29" t="s">
        <v>787</v>
      </c>
      <c r="N184" s="30">
        <v>0</v>
      </c>
    </row>
    <row r="185" spans="1:14" ht="15.5">
      <c r="A185" s="9" t="s">
        <v>749</v>
      </c>
      <c r="B185" s="10" t="s">
        <v>750</v>
      </c>
      <c r="C185" s="11" t="s">
        <v>751</v>
      </c>
      <c r="D185" s="12">
        <v>45350</v>
      </c>
      <c r="E185" s="12">
        <v>45350</v>
      </c>
      <c r="F185" s="12"/>
      <c r="G185" s="13" t="s">
        <v>258</v>
      </c>
      <c r="H185" s="14" t="s">
        <v>666</v>
      </c>
      <c r="I185" s="14" t="s">
        <v>279</v>
      </c>
      <c r="J185" s="15">
        <v>288.83</v>
      </c>
      <c r="L185" s="29" t="s">
        <v>738</v>
      </c>
      <c r="M185" s="29" t="s">
        <v>787</v>
      </c>
      <c r="N185" s="30">
        <v>226</v>
      </c>
    </row>
    <row r="186" spans="1:14" ht="15.5">
      <c r="A186" s="9" t="s">
        <v>752</v>
      </c>
      <c r="B186" s="10" t="s">
        <v>753</v>
      </c>
      <c r="C186" s="11" t="s">
        <v>754</v>
      </c>
      <c r="D186" s="12">
        <v>45876</v>
      </c>
      <c r="E186" s="12">
        <v>45876</v>
      </c>
      <c r="F186" s="12"/>
      <c r="G186" s="13" t="s">
        <v>258</v>
      </c>
      <c r="H186" s="14" t="s">
        <v>666</v>
      </c>
      <c r="I186" s="14" t="s">
        <v>755</v>
      </c>
      <c r="J186" s="15">
        <v>288.83</v>
      </c>
      <c r="L186" s="29" t="s">
        <v>740</v>
      </c>
      <c r="M186" s="29" t="s">
        <v>787</v>
      </c>
      <c r="N186" s="30">
        <v>0</v>
      </c>
    </row>
    <row r="187" spans="1:14" ht="15.5">
      <c r="A187" s="9" t="s">
        <v>756</v>
      </c>
      <c r="B187" s="10" t="s">
        <v>757</v>
      </c>
      <c r="C187" s="11" t="s">
        <v>758</v>
      </c>
      <c r="D187" s="12">
        <v>45428</v>
      </c>
      <c r="E187" s="12">
        <v>45428</v>
      </c>
      <c r="F187" s="12"/>
      <c r="G187" s="13" t="s">
        <v>258</v>
      </c>
      <c r="H187" s="14" t="s">
        <v>666</v>
      </c>
      <c r="I187" s="14" t="s">
        <v>355</v>
      </c>
      <c r="J187" s="15">
        <v>289.24</v>
      </c>
      <c r="L187" s="29" t="s">
        <v>685</v>
      </c>
      <c r="M187" s="29" t="s">
        <v>787</v>
      </c>
      <c r="N187" s="30">
        <v>0</v>
      </c>
    </row>
    <row r="188" spans="1:14" ht="15.5">
      <c r="A188" s="9">
        <v>2669</v>
      </c>
      <c r="B188" s="10" t="s">
        <v>759</v>
      </c>
      <c r="C188" s="11" t="s">
        <v>760</v>
      </c>
      <c r="D188" s="12">
        <v>45967</v>
      </c>
      <c r="E188" s="12">
        <v>45967</v>
      </c>
      <c r="F188" s="12"/>
      <c r="G188" s="13" t="s">
        <v>258</v>
      </c>
      <c r="H188" s="14" t="s">
        <v>666</v>
      </c>
      <c r="I188" s="14" t="s">
        <v>355</v>
      </c>
      <c r="J188" s="15">
        <v>289.24</v>
      </c>
      <c r="L188" s="29" t="s">
        <v>743</v>
      </c>
      <c r="M188" s="29" t="s">
        <v>787</v>
      </c>
      <c r="N188" s="30">
        <v>509</v>
      </c>
    </row>
    <row r="189" spans="1:14" ht="15.5">
      <c r="A189" s="9" t="s">
        <v>761</v>
      </c>
      <c r="B189" s="10" t="s">
        <v>762</v>
      </c>
      <c r="C189" s="11">
        <v>30190267598</v>
      </c>
      <c r="D189" s="12">
        <v>44728</v>
      </c>
      <c r="E189" s="12">
        <v>44728</v>
      </c>
      <c r="F189" s="12"/>
      <c r="G189" s="13" t="s">
        <v>258</v>
      </c>
      <c r="H189" s="14" t="s">
        <v>666</v>
      </c>
      <c r="I189" s="14" t="s">
        <v>355</v>
      </c>
      <c r="J189" s="15">
        <v>289.24</v>
      </c>
      <c r="L189" s="29" t="s">
        <v>688</v>
      </c>
      <c r="M189" s="29" t="s">
        <v>787</v>
      </c>
      <c r="N189" s="30">
        <v>0</v>
      </c>
    </row>
    <row r="190" spans="1:14" ht="15.5">
      <c r="A190" s="9" t="s">
        <v>763</v>
      </c>
      <c r="B190" s="10" t="s">
        <v>764</v>
      </c>
      <c r="C190" s="11" t="s">
        <v>765</v>
      </c>
      <c r="D190" s="12">
        <v>44721</v>
      </c>
      <c r="E190" s="12">
        <v>44721</v>
      </c>
      <c r="F190" s="12"/>
      <c r="G190" s="13" t="s">
        <v>258</v>
      </c>
      <c r="H190" s="14" t="s">
        <v>666</v>
      </c>
      <c r="I190" s="14" t="s">
        <v>355</v>
      </c>
      <c r="J190" s="15">
        <v>289.24</v>
      </c>
      <c r="L190" s="29" t="s">
        <v>745</v>
      </c>
      <c r="M190" s="29" t="s">
        <v>787</v>
      </c>
      <c r="N190" s="30">
        <v>340</v>
      </c>
    </row>
    <row r="191" spans="1:14" ht="15.5">
      <c r="A191" s="9" t="s">
        <v>766</v>
      </c>
      <c r="B191" s="10" t="s">
        <v>767</v>
      </c>
      <c r="C191" s="11" t="s">
        <v>768</v>
      </c>
      <c r="D191" s="12">
        <v>45421</v>
      </c>
      <c r="E191" s="12">
        <v>45421</v>
      </c>
      <c r="F191" s="12"/>
      <c r="G191" s="13" t="s">
        <v>258</v>
      </c>
      <c r="H191" s="14" t="s">
        <v>666</v>
      </c>
      <c r="I191" s="14" t="s">
        <v>355</v>
      </c>
      <c r="J191" s="15">
        <v>289.24</v>
      </c>
      <c r="L191" s="29" t="s">
        <v>770</v>
      </c>
      <c r="M191" s="29" t="s">
        <v>787</v>
      </c>
      <c r="N191" s="30">
        <v>0</v>
      </c>
    </row>
    <row r="192" spans="1:14" ht="15.5">
      <c r="A192" s="9" t="s">
        <v>769</v>
      </c>
      <c r="B192" s="10" t="s">
        <v>770</v>
      </c>
      <c r="C192" s="11" t="s">
        <v>771</v>
      </c>
      <c r="D192" s="12">
        <v>45393</v>
      </c>
      <c r="E192" s="12">
        <v>45393</v>
      </c>
      <c r="F192" s="12"/>
      <c r="G192" s="13" t="s">
        <v>258</v>
      </c>
      <c r="H192" s="14" t="s">
        <v>666</v>
      </c>
      <c r="I192" s="14" t="s">
        <v>355</v>
      </c>
      <c r="J192" s="15">
        <v>289.24</v>
      </c>
      <c r="L192" s="29" t="s">
        <v>690</v>
      </c>
      <c r="M192" s="29" t="s">
        <v>787</v>
      </c>
      <c r="N192" s="30">
        <v>0</v>
      </c>
    </row>
    <row r="193" spans="1:14" ht="15.5">
      <c r="A193" s="9" t="s">
        <v>772</v>
      </c>
      <c r="B193" s="10" t="s">
        <v>773</v>
      </c>
      <c r="C193" s="11" t="s">
        <v>774</v>
      </c>
      <c r="D193" s="12">
        <v>40856</v>
      </c>
      <c r="E193" s="12">
        <v>44389</v>
      </c>
      <c r="F193" s="12">
        <v>40856</v>
      </c>
      <c r="G193" s="13" t="s">
        <v>258</v>
      </c>
      <c r="H193" s="14" t="s">
        <v>666</v>
      </c>
      <c r="I193" s="14" t="s">
        <v>355</v>
      </c>
      <c r="J193" s="15">
        <v>289.24</v>
      </c>
      <c r="L193" s="29" t="s">
        <v>692</v>
      </c>
      <c r="M193" s="29" t="s">
        <v>787</v>
      </c>
      <c r="N193" s="30">
        <v>226</v>
      </c>
    </row>
    <row r="194" spans="1:14" ht="15.5">
      <c r="A194" s="27" t="s">
        <v>243</v>
      </c>
      <c r="B194" s="24"/>
      <c r="C194" s="28"/>
      <c r="D194" s="28"/>
      <c r="E194" s="28"/>
      <c r="F194" s="28"/>
      <c r="G194" s="25"/>
      <c r="H194" s="26"/>
      <c r="I194" s="26">
        <f>SUBTOTAL(103,Tabla5[Puesto])</f>
        <v>171</v>
      </c>
      <c r="J194" s="26">
        <f>SUBTOTAL(103,Tabla5[Salario Diario])</f>
        <v>171</v>
      </c>
      <c r="L194" s="29" t="s">
        <v>773</v>
      </c>
      <c r="M194" s="29" t="s">
        <v>787</v>
      </c>
      <c r="N194" s="30">
        <v>340</v>
      </c>
    </row>
    <row r="195" spans="1:14">
      <c r="L195" s="29" t="s">
        <v>747</v>
      </c>
      <c r="M195" s="29" t="s">
        <v>787</v>
      </c>
      <c r="N195" s="30">
        <v>0</v>
      </c>
    </row>
    <row r="196" spans="1:14">
      <c r="L196" s="29" t="s">
        <v>750</v>
      </c>
      <c r="M196" s="29" t="s">
        <v>787</v>
      </c>
      <c r="N196" s="30">
        <v>226</v>
      </c>
    </row>
    <row r="197" spans="1:14">
      <c r="F197" s="3" t="s">
        <v>1046</v>
      </c>
      <c r="G197" s="64">
        <f>+E210</f>
        <v>2166461.06</v>
      </c>
      <c r="L197" s="29" t="s">
        <v>790</v>
      </c>
      <c r="M197" s="29" t="s">
        <v>787</v>
      </c>
      <c r="N197" s="30">
        <v>0</v>
      </c>
    </row>
    <row r="198" spans="1:14">
      <c r="F198" s="3" t="s">
        <v>1047</v>
      </c>
      <c r="G198" s="65">
        <f>(Tabla6[[#Totals],[INCENTIVO]]*4.33)</f>
        <v>156880.23000000001</v>
      </c>
      <c r="L198" s="29" t="s">
        <v>694</v>
      </c>
      <c r="M198" s="29" t="s">
        <v>787</v>
      </c>
      <c r="N198" s="30">
        <v>226</v>
      </c>
    </row>
    <row r="199" spans="1:14">
      <c r="F199" s="3" t="s">
        <v>1049</v>
      </c>
      <c r="G199" s="64">
        <f>+G198+G197</f>
        <v>2323341.29</v>
      </c>
      <c r="L199" s="61" t="s">
        <v>243</v>
      </c>
      <c r="M199" s="61">
        <f>SUBTOTAL(103,Tabla6[SECCIÓN])</f>
        <v>176</v>
      </c>
      <c r="N199" s="62">
        <f>SUBTOTAL(109,Tabla6[INCENTIVO])</f>
        <v>36231</v>
      </c>
    </row>
    <row r="202" spans="1:14">
      <c r="F202" s="63"/>
      <c r="G202" s="63"/>
    </row>
    <row r="203" spans="1:14">
      <c r="F203" s="3" t="s">
        <v>1051</v>
      </c>
      <c r="G203" s="89">
        <f>126/171</f>
        <v>0.73684210526315785</v>
      </c>
    </row>
    <row r="206" spans="1:14">
      <c r="E206" s="1" t="s">
        <v>1058</v>
      </c>
      <c r="G206" s="1" t="s">
        <v>1055</v>
      </c>
      <c r="H206" t="s">
        <v>1063</v>
      </c>
    </row>
    <row r="207" spans="1:14">
      <c r="E207" s="70">
        <v>356900.55</v>
      </c>
      <c r="F207" s="3" t="s">
        <v>1054</v>
      </c>
      <c r="G207" s="1">
        <v>28</v>
      </c>
      <c r="H207" s="1">
        <v>855</v>
      </c>
    </row>
    <row r="208" spans="1:14">
      <c r="E208" s="70">
        <v>1451144.35</v>
      </c>
      <c r="F208" s="3" t="s">
        <v>1052</v>
      </c>
      <c r="G208" s="1">
        <v>114</v>
      </c>
      <c r="H208" t="s">
        <v>1064</v>
      </c>
    </row>
    <row r="209" spans="5:8">
      <c r="E209" s="68">
        <v>358416.16</v>
      </c>
      <c r="F209" s="3" t="s">
        <v>1053</v>
      </c>
      <c r="G209" s="69">
        <v>29</v>
      </c>
      <c r="H209" s="6">
        <f>H207/G210</f>
        <v>5</v>
      </c>
    </row>
    <row r="210" spans="5:8">
      <c r="E210" s="71">
        <f>SUM(E207:E209)</f>
        <v>2166461.06</v>
      </c>
      <c r="G210" s="1">
        <f>SUM(G207:G209)</f>
        <v>171</v>
      </c>
    </row>
    <row r="211" spans="5:8">
      <c r="G211" s="1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FDB7-597C-48EB-83E0-B997CC8CD183}">
  <dimension ref="A1:N115"/>
  <sheetViews>
    <sheetView topLeftCell="B54" workbookViewId="0">
      <selection activeCell="E108" sqref="E108"/>
    </sheetView>
  </sheetViews>
  <sheetFormatPr baseColWidth="10" defaultRowHeight="14.5"/>
  <cols>
    <col min="1" max="1" width="11.6328125" customWidth="1"/>
    <col min="2" max="2" width="38.81640625" bestFit="1" customWidth="1"/>
    <col min="3" max="3" width="27.453125" customWidth="1"/>
    <col min="4" max="4" width="24.7265625" customWidth="1"/>
    <col min="5" max="5" width="25.08984375" customWidth="1"/>
    <col min="6" max="6" width="26.36328125" customWidth="1"/>
    <col min="7" max="7" width="14.54296875" customWidth="1"/>
    <col min="8" max="8" width="32.1796875" bestFit="1" customWidth="1"/>
    <col min="9" max="9" width="17.81640625" bestFit="1" customWidth="1"/>
    <col min="10" max="10" width="15.7265625" customWidth="1"/>
    <col min="12" max="12" width="34.54296875" bestFit="1" customWidth="1"/>
    <col min="13" max="13" width="20.1796875" bestFit="1" customWidth="1"/>
    <col min="14" max="14" width="13.453125" bestFit="1" customWidth="1"/>
  </cols>
  <sheetData>
    <row r="1" spans="1:14" ht="15">
      <c r="A1" s="21" t="s">
        <v>68</v>
      </c>
      <c r="B1" s="21" t="s">
        <v>69</v>
      </c>
      <c r="C1" s="21" t="s">
        <v>70</v>
      </c>
      <c r="D1" s="21" t="s">
        <v>71</v>
      </c>
      <c r="E1" s="21" t="s">
        <v>72</v>
      </c>
      <c r="F1" s="21" t="s">
        <v>73</v>
      </c>
      <c r="G1" s="22" t="s">
        <v>74</v>
      </c>
      <c r="H1" s="22" t="s">
        <v>75</v>
      </c>
      <c r="I1" s="22" t="s">
        <v>76</v>
      </c>
      <c r="J1" s="23" t="s">
        <v>77</v>
      </c>
      <c r="L1" s="31" t="s">
        <v>244</v>
      </c>
      <c r="M1" s="31" t="s">
        <v>245</v>
      </c>
      <c r="N1" s="32" t="s">
        <v>246</v>
      </c>
    </row>
    <row r="2" spans="1:14" ht="15.5">
      <c r="A2" s="9" t="s">
        <v>791</v>
      </c>
      <c r="B2" s="10" t="s">
        <v>792</v>
      </c>
      <c r="C2" s="11" t="s">
        <v>793</v>
      </c>
      <c r="D2" s="12">
        <v>45386</v>
      </c>
      <c r="E2" s="12">
        <v>45386</v>
      </c>
      <c r="F2" s="12"/>
      <c r="G2" s="13" t="s">
        <v>794</v>
      </c>
      <c r="H2" s="14" t="s">
        <v>795</v>
      </c>
      <c r="I2" s="14" t="s">
        <v>83</v>
      </c>
      <c r="J2" s="15">
        <v>280</v>
      </c>
      <c r="L2" s="29" t="s">
        <v>804</v>
      </c>
      <c r="M2" s="29" t="s">
        <v>1037</v>
      </c>
      <c r="N2" s="30">
        <v>226</v>
      </c>
    </row>
    <row r="3" spans="1:14" ht="15.5">
      <c r="A3" s="9" t="s">
        <v>796</v>
      </c>
      <c r="B3" s="10" t="s">
        <v>797</v>
      </c>
      <c r="C3" s="11" t="s">
        <v>798</v>
      </c>
      <c r="D3" s="12">
        <v>44714</v>
      </c>
      <c r="E3" s="12">
        <v>44714</v>
      </c>
      <c r="F3" s="12"/>
      <c r="G3" s="13" t="s">
        <v>794</v>
      </c>
      <c r="H3" s="14" t="s">
        <v>795</v>
      </c>
      <c r="I3" s="14" t="s">
        <v>83</v>
      </c>
      <c r="J3" s="15">
        <v>280</v>
      </c>
      <c r="L3" s="29" t="s">
        <v>806</v>
      </c>
      <c r="M3" s="29" t="s">
        <v>1037</v>
      </c>
      <c r="N3" s="30">
        <v>226</v>
      </c>
    </row>
    <row r="4" spans="1:14" ht="15.5">
      <c r="A4" s="9" t="s">
        <v>799</v>
      </c>
      <c r="B4" s="10" t="s">
        <v>800</v>
      </c>
      <c r="C4" s="11">
        <v>15138708068</v>
      </c>
      <c r="D4" s="12">
        <v>45078</v>
      </c>
      <c r="E4" s="12">
        <v>45078</v>
      </c>
      <c r="F4" s="12"/>
      <c r="G4" s="13" t="s">
        <v>794</v>
      </c>
      <c r="H4" s="14" t="s">
        <v>795</v>
      </c>
      <c r="I4" s="14" t="s">
        <v>83</v>
      </c>
      <c r="J4" s="15">
        <v>280</v>
      </c>
      <c r="L4" s="29" t="s">
        <v>809</v>
      </c>
      <c r="M4" s="29" t="s">
        <v>1037</v>
      </c>
      <c r="N4" s="30">
        <v>0</v>
      </c>
    </row>
    <row r="5" spans="1:14" ht="15.5">
      <c r="A5" s="9" t="s">
        <v>801</v>
      </c>
      <c r="B5" s="10" t="s">
        <v>802</v>
      </c>
      <c r="C5" s="11" t="s">
        <v>803</v>
      </c>
      <c r="D5" s="12">
        <v>45204</v>
      </c>
      <c r="E5" s="12">
        <v>45204</v>
      </c>
      <c r="F5" s="12"/>
      <c r="G5" s="13" t="s">
        <v>794</v>
      </c>
      <c r="H5" s="14" t="s">
        <v>795</v>
      </c>
      <c r="I5" s="14" t="s">
        <v>83</v>
      </c>
      <c r="J5" s="15">
        <v>280</v>
      </c>
      <c r="L5" s="29" t="s">
        <v>811</v>
      </c>
      <c r="M5" s="29" t="s">
        <v>1037</v>
      </c>
      <c r="N5" s="30">
        <v>226</v>
      </c>
    </row>
    <row r="6" spans="1:14" ht="15.5">
      <c r="A6" s="9">
        <v>2542</v>
      </c>
      <c r="B6" s="10" t="s">
        <v>804</v>
      </c>
      <c r="C6" s="11" t="s">
        <v>805</v>
      </c>
      <c r="D6" s="12">
        <v>45701</v>
      </c>
      <c r="E6" s="12">
        <v>45701</v>
      </c>
      <c r="F6" s="12"/>
      <c r="G6" s="13" t="s">
        <v>794</v>
      </c>
      <c r="H6" s="14" t="s">
        <v>795</v>
      </c>
      <c r="I6" s="14" t="s">
        <v>279</v>
      </c>
      <c r="J6" s="15">
        <v>288.83</v>
      </c>
      <c r="L6" s="29" t="s">
        <v>792</v>
      </c>
      <c r="M6" s="29" t="s">
        <v>1037</v>
      </c>
      <c r="N6" s="30">
        <v>0</v>
      </c>
    </row>
    <row r="7" spans="1:14" ht="15.5">
      <c r="A7" s="9">
        <v>2524</v>
      </c>
      <c r="B7" s="10" t="s">
        <v>806</v>
      </c>
      <c r="C7" s="11" t="s">
        <v>807</v>
      </c>
      <c r="D7" s="12">
        <v>45680</v>
      </c>
      <c r="E7" s="12">
        <v>45680</v>
      </c>
      <c r="F7" s="12"/>
      <c r="G7" s="13" t="s">
        <v>794</v>
      </c>
      <c r="H7" s="14" t="s">
        <v>795</v>
      </c>
      <c r="I7" s="14" t="s">
        <v>279</v>
      </c>
      <c r="J7" s="15">
        <v>288.83</v>
      </c>
      <c r="L7" s="29" t="s">
        <v>813</v>
      </c>
      <c r="M7" s="29" t="s">
        <v>1037</v>
      </c>
      <c r="N7" s="30">
        <v>226</v>
      </c>
    </row>
    <row r="8" spans="1:14" ht="15.5">
      <c r="A8" s="9" t="s">
        <v>808</v>
      </c>
      <c r="B8" s="10" t="s">
        <v>809</v>
      </c>
      <c r="C8" s="11">
        <v>72139310394</v>
      </c>
      <c r="D8" s="12">
        <v>45078</v>
      </c>
      <c r="E8" s="12">
        <v>45078</v>
      </c>
      <c r="F8" s="12"/>
      <c r="G8" s="13" t="s">
        <v>794</v>
      </c>
      <c r="H8" s="14" t="s">
        <v>795</v>
      </c>
      <c r="I8" s="14" t="s">
        <v>279</v>
      </c>
      <c r="J8" s="15">
        <v>288.83</v>
      </c>
      <c r="L8" s="29" t="s">
        <v>816</v>
      </c>
      <c r="M8" s="29" t="s">
        <v>1037</v>
      </c>
      <c r="N8" s="30">
        <v>311</v>
      </c>
    </row>
    <row r="9" spans="1:14" ht="15.5">
      <c r="A9" s="9" t="s">
        <v>810</v>
      </c>
      <c r="B9" s="10" t="s">
        <v>811</v>
      </c>
      <c r="C9" s="11">
        <v>72068617413</v>
      </c>
      <c r="D9" s="12">
        <v>45350</v>
      </c>
      <c r="E9" s="12">
        <v>45350</v>
      </c>
      <c r="F9" s="12"/>
      <c r="G9" s="13" t="s">
        <v>794</v>
      </c>
      <c r="H9" s="14" t="s">
        <v>795</v>
      </c>
      <c r="I9" s="14" t="s">
        <v>279</v>
      </c>
      <c r="J9" s="15">
        <v>288.83</v>
      </c>
      <c r="L9" s="29" t="s">
        <v>818</v>
      </c>
      <c r="M9" s="29" t="s">
        <v>1037</v>
      </c>
      <c r="N9" s="30">
        <v>339</v>
      </c>
    </row>
    <row r="10" spans="1:14" ht="15.5">
      <c r="A10" s="9" t="s">
        <v>812</v>
      </c>
      <c r="B10" s="10" t="s">
        <v>813</v>
      </c>
      <c r="C10" s="11" t="s">
        <v>814</v>
      </c>
      <c r="D10" s="12">
        <v>42289</v>
      </c>
      <c r="E10" s="12">
        <v>44389</v>
      </c>
      <c r="F10" s="12">
        <v>42289</v>
      </c>
      <c r="G10" s="13" t="s">
        <v>794</v>
      </c>
      <c r="H10" s="14" t="s">
        <v>795</v>
      </c>
      <c r="I10" s="14" t="s">
        <v>279</v>
      </c>
      <c r="J10" s="15">
        <v>288.83</v>
      </c>
      <c r="L10" s="29" t="s">
        <v>820</v>
      </c>
      <c r="M10" s="29" t="s">
        <v>1037</v>
      </c>
      <c r="N10" s="30">
        <v>311</v>
      </c>
    </row>
    <row r="11" spans="1:14" ht="15.5">
      <c r="A11" s="9" t="s">
        <v>815</v>
      </c>
      <c r="B11" s="10" t="s">
        <v>816</v>
      </c>
      <c r="C11" s="11" t="s">
        <v>817</v>
      </c>
      <c r="D11" s="12">
        <v>45078</v>
      </c>
      <c r="E11" s="12">
        <v>45078</v>
      </c>
      <c r="F11" s="12"/>
      <c r="G11" s="13" t="s">
        <v>794</v>
      </c>
      <c r="H11" s="14" t="s">
        <v>795</v>
      </c>
      <c r="I11" s="14" t="s">
        <v>279</v>
      </c>
      <c r="J11" s="15">
        <v>288.83</v>
      </c>
      <c r="L11" s="29" t="s">
        <v>823</v>
      </c>
      <c r="M11" s="29" t="s">
        <v>1037</v>
      </c>
      <c r="N11" s="30">
        <v>0</v>
      </c>
    </row>
    <row r="12" spans="1:14" ht="15.5">
      <c r="A12" s="9">
        <v>2528</v>
      </c>
      <c r="B12" s="10" t="s">
        <v>818</v>
      </c>
      <c r="C12" s="11" t="s">
        <v>819</v>
      </c>
      <c r="D12" s="12">
        <v>45687</v>
      </c>
      <c r="E12" s="12">
        <v>45687</v>
      </c>
      <c r="F12" s="12"/>
      <c r="G12" s="13" t="s">
        <v>794</v>
      </c>
      <c r="H12" s="14" t="s">
        <v>795</v>
      </c>
      <c r="I12" s="14" t="s">
        <v>279</v>
      </c>
      <c r="J12" s="15">
        <v>288.83</v>
      </c>
      <c r="L12" s="29" t="s">
        <v>826</v>
      </c>
      <c r="M12" s="29" t="s">
        <v>1037</v>
      </c>
      <c r="N12" s="30">
        <v>397</v>
      </c>
    </row>
    <row r="13" spans="1:14" ht="15.5">
      <c r="A13" s="9">
        <v>2501</v>
      </c>
      <c r="B13" s="10" t="s">
        <v>820</v>
      </c>
      <c r="C13" s="11" t="s">
        <v>821</v>
      </c>
      <c r="D13" s="12">
        <v>45988</v>
      </c>
      <c r="E13" s="12">
        <v>45988</v>
      </c>
      <c r="F13" s="12"/>
      <c r="G13" s="13" t="s">
        <v>794</v>
      </c>
      <c r="H13" s="14" t="s">
        <v>795</v>
      </c>
      <c r="I13" s="14" t="s">
        <v>279</v>
      </c>
      <c r="J13" s="15">
        <v>288.83</v>
      </c>
      <c r="L13" s="29" t="s">
        <v>828</v>
      </c>
      <c r="M13" s="29" t="s">
        <v>1037</v>
      </c>
      <c r="N13" s="30">
        <v>0</v>
      </c>
    </row>
    <row r="14" spans="1:14" ht="15.5">
      <c r="A14" s="9" t="s">
        <v>822</v>
      </c>
      <c r="B14" s="10" t="s">
        <v>823</v>
      </c>
      <c r="C14" s="11" t="s">
        <v>824</v>
      </c>
      <c r="D14" s="12">
        <v>45141</v>
      </c>
      <c r="E14" s="12">
        <v>45141</v>
      </c>
      <c r="F14" s="12"/>
      <c r="G14" s="13" t="s">
        <v>794</v>
      </c>
      <c r="H14" s="14" t="s">
        <v>795</v>
      </c>
      <c r="I14" s="14" t="s">
        <v>279</v>
      </c>
      <c r="J14" s="15">
        <v>288.83</v>
      </c>
      <c r="L14" s="29" t="s">
        <v>830</v>
      </c>
      <c r="M14" s="29" t="s">
        <v>1037</v>
      </c>
      <c r="N14" s="30">
        <v>0</v>
      </c>
    </row>
    <row r="15" spans="1:14" ht="15.5">
      <c r="A15" s="9" t="s">
        <v>825</v>
      </c>
      <c r="B15" s="10" t="s">
        <v>826</v>
      </c>
      <c r="C15" s="11">
        <v>72129403183</v>
      </c>
      <c r="D15" s="12">
        <v>45113</v>
      </c>
      <c r="E15" s="12">
        <v>45113</v>
      </c>
      <c r="F15" s="12"/>
      <c r="G15" s="13" t="s">
        <v>794</v>
      </c>
      <c r="H15" s="14" t="s">
        <v>795</v>
      </c>
      <c r="I15" s="14" t="s">
        <v>279</v>
      </c>
      <c r="J15" s="15">
        <v>288.83</v>
      </c>
      <c r="L15" s="29" t="s">
        <v>832</v>
      </c>
      <c r="M15" s="29" t="s">
        <v>1037</v>
      </c>
      <c r="N15" s="30">
        <v>0</v>
      </c>
    </row>
    <row r="16" spans="1:14" ht="15.5">
      <c r="A16" s="9" t="s">
        <v>827</v>
      </c>
      <c r="B16" s="10" t="s">
        <v>828</v>
      </c>
      <c r="C16" s="11" t="s">
        <v>829</v>
      </c>
      <c r="D16" s="12">
        <v>45316</v>
      </c>
      <c r="E16" s="12">
        <v>45316</v>
      </c>
      <c r="F16" s="12"/>
      <c r="G16" s="13" t="s">
        <v>794</v>
      </c>
      <c r="H16" s="14" t="s">
        <v>795</v>
      </c>
      <c r="I16" s="14" t="s">
        <v>279</v>
      </c>
      <c r="J16" s="15">
        <v>288.83</v>
      </c>
      <c r="L16" s="29" t="s">
        <v>835</v>
      </c>
      <c r="M16" s="29" t="s">
        <v>1037</v>
      </c>
      <c r="N16" s="30">
        <v>226</v>
      </c>
    </row>
    <row r="17" spans="1:14" ht="15.5">
      <c r="A17" s="9">
        <v>2522</v>
      </c>
      <c r="B17" s="10" t="s">
        <v>830</v>
      </c>
      <c r="C17" s="11" t="s">
        <v>831</v>
      </c>
      <c r="D17" s="12">
        <v>45680</v>
      </c>
      <c r="E17" s="12">
        <v>45680</v>
      </c>
      <c r="F17" s="12"/>
      <c r="G17" s="13" t="s">
        <v>794</v>
      </c>
      <c r="H17" s="14" t="s">
        <v>795</v>
      </c>
      <c r="I17" s="14" t="s">
        <v>279</v>
      </c>
      <c r="J17" s="15">
        <v>288.83</v>
      </c>
      <c r="L17" s="29" t="s">
        <v>837</v>
      </c>
      <c r="M17" s="29" t="s">
        <v>1037</v>
      </c>
      <c r="N17" s="30">
        <v>0</v>
      </c>
    </row>
    <row r="18" spans="1:14" ht="15.5">
      <c r="A18" s="9">
        <v>2514</v>
      </c>
      <c r="B18" s="10" t="s">
        <v>832</v>
      </c>
      <c r="C18" s="11" t="s">
        <v>833</v>
      </c>
      <c r="D18" s="12">
        <v>45673</v>
      </c>
      <c r="E18" s="12">
        <v>45673</v>
      </c>
      <c r="F18" s="12"/>
      <c r="G18" s="13" t="s">
        <v>794</v>
      </c>
      <c r="H18" s="14" t="s">
        <v>795</v>
      </c>
      <c r="I18" s="14" t="s">
        <v>279</v>
      </c>
      <c r="J18" s="15">
        <v>288.83</v>
      </c>
      <c r="L18" s="29" t="s">
        <v>840</v>
      </c>
      <c r="M18" s="29" t="s">
        <v>1037</v>
      </c>
      <c r="N18" s="30">
        <v>0</v>
      </c>
    </row>
    <row r="19" spans="1:14" ht="15.5">
      <c r="A19" s="9" t="s">
        <v>834</v>
      </c>
      <c r="B19" s="10" t="s">
        <v>835</v>
      </c>
      <c r="C19" s="11">
        <v>72968036458</v>
      </c>
      <c r="D19" s="12">
        <v>44840</v>
      </c>
      <c r="E19" s="12">
        <v>44840</v>
      </c>
      <c r="F19" s="12"/>
      <c r="G19" s="13" t="s">
        <v>794</v>
      </c>
      <c r="H19" s="14" t="s">
        <v>795</v>
      </c>
      <c r="I19" s="14" t="s">
        <v>279</v>
      </c>
      <c r="J19" s="15">
        <v>288.83</v>
      </c>
      <c r="L19" s="29" t="s">
        <v>843</v>
      </c>
      <c r="M19" s="29" t="s">
        <v>1037</v>
      </c>
      <c r="N19" s="30">
        <v>340</v>
      </c>
    </row>
    <row r="20" spans="1:14" ht="15.5">
      <c r="A20" s="9" t="s">
        <v>836</v>
      </c>
      <c r="B20" s="10" t="s">
        <v>837</v>
      </c>
      <c r="C20" s="11" t="s">
        <v>838</v>
      </c>
      <c r="D20" s="12">
        <v>45414</v>
      </c>
      <c r="E20" s="12">
        <v>45414</v>
      </c>
      <c r="F20" s="12"/>
      <c r="G20" s="13" t="s">
        <v>794</v>
      </c>
      <c r="H20" s="14" t="s">
        <v>795</v>
      </c>
      <c r="I20" s="14" t="s">
        <v>279</v>
      </c>
      <c r="J20" s="15">
        <v>288.83</v>
      </c>
      <c r="L20" s="29" t="s">
        <v>797</v>
      </c>
      <c r="M20" s="29" t="s">
        <v>1037</v>
      </c>
      <c r="N20" s="30">
        <v>113</v>
      </c>
    </row>
    <row r="21" spans="1:14" ht="15.5">
      <c r="A21" s="9" t="s">
        <v>839</v>
      </c>
      <c r="B21" s="10" t="s">
        <v>840</v>
      </c>
      <c r="C21" s="11" t="s">
        <v>841</v>
      </c>
      <c r="D21" s="12">
        <v>45344</v>
      </c>
      <c r="E21" s="12">
        <v>45344</v>
      </c>
      <c r="F21" s="12"/>
      <c r="G21" s="13" t="s">
        <v>794</v>
      </c>
      <c r="H21" s="14" t="s">
        <v>795</v>
      </c>
      <c r="I21" s="14" t="s">
        <v>279</v>
      </c>
      <c r="J21" s="15">
        <v>288.83</v>
      </c>
      <c r="L21" s="29" t="s">
        <v>845</v>
      </c>
      <c r="M21" s="29" t="s">
        <v>1037</v>
      </c>
      <c r="N21" s="30">
        <v>311</v>
      </c>
    </row>
    <row r="22" spans="1:14" ht="15.5">
      <c r="A22" s="9" t="s">
        <v>842</v>
      </c>
      <c r="B22" s="10" t="s">
        <v>843</v>
      </c>
      <c r="C22" s="11" t="s">
        <v>844</v>
      </c>
      <c r="D22" s="12">
        <v>42877</v>
      </c>
      <c r="E22" s="12">
        <v>44389</v>
      </c>
      <c r="F22" s="12">
        <v>42877</v>
      </c>
      <c r="G22" s="13" t="s">
        <v>794</v>
      </c>
      <c r="H22" s="14" t="s">
        <v>795</v>
      </c>
      <c r="I22" s="14" t="s">
        <v>279</v>
      </c>
      <c r="J22" s="15">
        <v>288.83</v>
      </c>
      <c r="L22" s="29" t="s">
        <v>848</v>
      </c>
      <c r="M22" s="29" t="s">
        <v>1037</v>
      </c>
      <c r="N22" s="30">
        <v>226</v>
      </c>
    </row>
    <row r="23" spans="1:14" ht="15.5">
      <c r="A23" s="9">
        <v>2520</v>
      </c>
      <c r="B23" s="10" t="s">
        <v>845</v>
      </c>
      <c r="C23" s="11" t="s">
        <v>846</v>
      </c>
      <c r="D23" s="12">
        <v>45680</v>
      </c>
      <c r="E23" s="12">
        <v>45680</v>
      </c>
      <c r="F23" s="12"/>
      <c r="G23" s="13" t="s">
        <v>794</v>
      </c>
      <c r="H23" s="14" t="s">
        <v>795</v>
      </c>
      <c r="I23" s="14" t="s">
        <v>279</v>
      </c>
      <c r="J23" s="15">
        <v>288.83</v>
      </c>
      <c r="L23" s="29" t="s">
        <v>851</v>
      </c>
      <c r="M23" s="29" t="s">
        <v>1037</v>
      </c>
      <c r="N23" s="30">
        <v>509</v>
      </c>
    </row>
    <row r="24" spans="1:14" ht="15.5">
      <c r="A24" s="9" t="s">
        <v>847</v>
      </c>
      <c r="B24" s="10" t="s">
        <v>848</v>
      </c>
      <c r="C24" s="11" t="s">
        <v>849</v>
      </c>
      <c r="D24" s="12">
        <v>42795</v>
      </c>
      <c r="E24" s="12">
        <v>44389</v>
      </c>
      <c r="F24" s="12">
        <v>42795</v>
      </c>
      <c r="G24" s="13" t="s">
        <v>794</v>
      </c>
      <c r="H24" s="14" t="s">
        <v>795</v>
      </c>
      <c r="I24" s="14" t="s">
        <v>279</v>
      </c>
      <c r="J24" s="15">
        <v>288.83</v>
      </c>
      <c r="L24" s="29" t="s">
        <v>800</v>
      </c>
      <c r="M24" s="29" t="s">
        <v>1037</v>
      </c>
      <c r="N24" s="30">
        <v>0</v>
      </c>
    </row>
    <row r="25" spans="1:14" ht="15.5">
      <c r="A25" s="9" t="s">
        <v>850</v>
      </c>
      <c r="B25" s="10" t="s">
        <v>851</v>
      </c>
      <c r="C25" s="11" t="s">
        <v>852</v>
      </c>
      <c r="D25" s="12">
        <v>44455</v>
      </c>
      <c r="E25" s="12">
        <v>44455</v>
      </c>
      <c r="F25" s="12"/>
      <c r="G25" s="13" t="s">
        <v>794</v>
      </c>
      <c r="H25" s="14" t="s">
        <v>795</v>
      </c>
      <c r="I25" s="14" t="s">
        <v>279</v>
      </c>
      <c r="J25" s="15">
        <v>288.83</v>
      </c>
      <c r="L25" s="29" t="s">
        <v>854</v>
      </c>
      <c r="M25" s="29" t="s">
        <v>1037</v>
      </c>
      <c r="N25" s="30">
        <v>0</v>
      </c>
    </row>
    <row r="26" spans="1:14" ht="15.5">
      <c r="A26" s="9" t="s">
        <v>853</v>
      </c>
      <c r="B26" s="10" t="s">
        <v>854</v>
      </c>
      <c r="C26" s="11" t="s">
        <v>855</v>
      </c>
      <c r="D26" s="12">
        <v>45316</v>
      </c>
      <c r="E26" s="12">
        <v>45316</v>
      </c>
      <c r="F26" s="12"/>
      <c r="G26" s="13" t="s">
        <v>794</v>
      </c>
      <c r="H26" s="14" t="s">
        <v>795</v>
      </c>
      <c r="I26" s="14" t="s">
        <v>279</v>
      </c>
      <c r="J26" s="15">
        <v>288.83</v>
      </c>
      <c r="L26" s="29" t="s">
        <v>857</v>
      </c>
      <c r="M26" s="29" t="s">
        <v>1037</v>
      </c>
      <c r="N26" s="30">
        <v>0</v>
      </c>
    </row>
    <row r="27" spans="1:14" ht="15.5">
      <c r="A27" s="9" t="s">
        <v>856</v>
      </c>
      <c r="B27" s="10" t="s">
        <v>857</v>
      </c>
      <c r="C27" s="11">
        <v>45907448083</v>
      </c>
      <c r="D27" s="12">
        <v>39464</v>
      </c>
      <c r="E27" s="12">
        <v>44389</v>
      </c>
      <c r="F27" s="12">
        <v>39464</v>
      </c>
      <c r="G27" s="13" t="s">
        <v>794</v>
      </c>
      <c r="H27" s="14" t="s">
        <v>795</v>
      </c>
      <c r="I27" s="14" t="s">
        <v>279</v>
      </c>
      <c r="J27" s="15">
        <v>288.83</v>
      </c>
      <c r="L27" s="29" t="s">
        <v>859</v>
      </c>
      <c r="M27" s="29" t="s">
        <v>1037</v>
      </c>
      <c r="N27" s="30">
        <v>226</v>
      </c>
    </row>
    <row r="28" spans="1:14" ht="15.5">
      <c r="A28" s="9" t="s">
        <v>858</v>
      </c>
      <c r="B28" s="10" t="s">
        <v>859</v>
      </c>
      <c r="C28" s="11">
        <v>30210319684</v>
      </c>
      <c r="D28" s="12">
        <v>44413</v>
      </c>
      <c r="E28" s="12">
        <v>44413</v>
      </c>
      <c r="F28" s="12"/>
      <c r="G28" s="13" t="s">
        <v>794</v>
      </c>
      <c r="H28" s="14" t="s">
        <v>795</v>
      </c>
      <c r="I28" s="14" t="s">
        <v>279</v>
      </c>
      <c r="J28" s="15">
        <v>288.83</v>
      </c>
      <c r="L28" s="29" t="s">
        <v>861</v>
      </c>
      <c r="M28" s="29" t="s">
        <v>1037</v>
      </c>
      <c r="N28" s="30">
        <v>0</v>
      </c>
    </row>
    <row r="29" spans="1:14" ht="15.5">
      <c r="A29" s="9" t="s">
        <v>860</v>
      </c>
      <c r="B29" s="10" t="s">
        <v>861</v>
      </c>
      <c r="C29" s="11" t="s">
        <v>862</v>
      </c>
      <c r="D29" s="12">
        <v>45386</v>
      </c>
      <c r="E29" s="12">
        <v>45386</v>
      </c>
      <c r="F29" s="12"/>
      <c r="G29" s="13" t="s">
        <v>794</v>
      </c>
      <c r="H29" s="14" t="s">
        <v>795</v>
      </c>
      <c r="I29" s="14" t="s">
        <v>279</v>
      </c>
      <c r="J29" s="15">
        <v>288.83</v>
      </c>
      <c r="L29" s="29" t="s">
        <v>1038</v>
      </c>
      <c r="M29" s="29" t="s">
        <v>1037</v>
      </c>
      <c r="N29" s="30">
        <v>0</v>
      </c>
    </row>
    <row r="30" spans="1:14" ht="15.5">
      <c r="A30" s="9">
        <v>2527</v>
      </c>
      <c r="B30" s="10" t="s">
        <v>863</v>
      </c>
      <c r="C30" s="11" t="s">
        <v>864</v>
      </c>
      <c r="D30" s="12">
        <v>45680</v>
      </c>
      <c r="E30" s="12">
        <v>45680</v>
      </c>
      <c r="F30" s="12"/>
      <c r="G30" s="13" t="s">
        <v>794</v>
      </c>
      <c r="H30" s="14" t="s">
        <v>795</v>
      </c>
      <c r="I30" s="14" t="s">
        <v>279</v>
      </c>
      <c r="J30" s="15">
        <v>288.83</v>
      </c>
      <c r="L30" s="29" t="s">
        <v>866</v>
      </c>
      <c r="M30" s="29" t="s">
        <v>1037</v>
      </c>
      <c r="N30" s="30">
        <v>226</v>
      </c>
    </row>
    <row r="31" spans="1:14" ht="15.5">
      <c r="A31" s="9" t="s">
        <v>865</v>
      </c>
      <c r="B31" s="10" t="s">
        <v>866</v>
      </c>
      <c r="C31" s="11" t="s">
        <v>867</v>
      </c>
      <c r="D31" s="12">
        <v>44389</v>
      </c>
      <c r="E31" s="12">
        <v>44389</v>
      </c>
      <c r="F31" s="12"/>
      <c r="G31" s="13" t="s">
        <v>794</v>
      </c>
      <c r="H31" s="14" t="s">
        <v>795</v>
      </c>
      <c r="I31" s="14" t="s">
        <v>279</v>
      </c>
      <c r="J31" s="15">
        <v>288.83</v>
      </c>
      <c r="L31" s="29" t="s">
        <v>869</v>
      </c>
      <c r="M31" s="29" t="s">
        <v>1037</v>
      </c>
      <c r="N31" s="30">
        <v>0</v>
      </c>
    </row>
    <row r="32" spans="1:14" ht="15.5">
      <c r="A32" s="9" t="s">
        <v>868</v>
      </c>
      <c r="B32" s="10" t="s">
        <v>869</v>
      </c>
      <c r="C32" s="11" t="s">
        <v>870</v>
      </c>
      <c r="D32" s="12">
        <v>45491</v>
      </c>
      <c r="E32" s="12">
        <v>45491</v>
      </c>
      <c r="F32" s="12"/>
      <c r="G32" s="13" t="s">
        <v>794</v>
      </c>
      <c r="H32" s="14" t="s">
        <v>795</v>
      </c>
      <c r="I32" s="14" t="s">
        <v>279</v>
      </c>
      <c r="J32" s="15">
        <v>288.83</v>
      </c>
      <c r="L32" s="29" t="s">
        <v>802</v>
      </c>
      <c r="M32" s="29" t="s">
        <v>1037</v>
      </c>
      <c r="N32" s="30">
        <v>339</v>
      </c>
    </row>
    <row r="33" spans="1:14" ht="15.5">
      <c r="A33" s="9">
        <v>2177</v>
      </c>
      <c r="B33" s="10" t="s">
        <v>871</v>
      </c>
      <c r="C33" s="11" t="s">
        <v>872</v>
      </c>
      <c r="D33" s="12">
        <v>45869</v>
      </c>
      <c r="E33" s="12">
        <v>45869</v>
      </c>
      <c r="F33" s="12"/>
      <c r="G33" s="13" t="s">
        <v>794</v>
      </c>
      <c r="H33" s="14" t="s">
        <v>795</v>
      </c>
      <c r="I33" s="14" t="s">
        <v>279</v>
      </c>
      <c r="J33" s="15">
        <v>288.83</v>
      </c>
      <c r="L33" s="29" t="s">
        <v>871</v>
      </c>
      <c r="M33" s="29" t="s">
        <v>1037</v>
      </c>
      <c r="N33" s="30">
        <v>0</v>
      </c>
    </row>
    <row r="34" spans="1:14" ht="15.5">
      <c r="A34" s="9">
        <v>2625</v>
      </c>
      <c r="B34" s="10" t="s">
        <v>873</v>
      </c>
      <c r="C34" s="11" t="s">
        <v>874</v>
      </c>
      <c r="D34" s="12">
        <v>45862</v>
      </c>
      <c r="E34" s="12">
        <v>45862</v>
      </c>
      <c r="F34" s="12"/>
      <c r="G34" s="13" t="s">
        <v>794</v>
      </c>
      <c r="H34" s="14" t="s">
        <v>795</v>
      </c>
      <c r="I34" s="14" t="s">
        <v>279</v>
      </c>
      <c r="J34" s="15">
        <v>288.83</v>
      </c>
      <c r="L34" s="29" t="s">
        <v>873</v>
      </c>
      <c r="M34" s="29" t="s">
        <v>1037</v>
      </c>
      <c r="N34" s="30">
        <v>0</v>
      </c>
    </row>
    <row r="35" spans="1:14" ht="15.5">
      <c r="A35" s="9" t="s">
        <v>875</v>
      </c>
      <c r="B35" s="10" t="s">
        <v>876</v>
      </c>
      <c r="C35" s="11">
        <v>72117101393</v>
      </c>
      <c r="D35" s="12">
        <v>45204</v>
      </c>
      <c r="E35" s="12">
        <v>45204</v>
      </c>
      <c r="F35" s="12"/>
      <c r="G35" s="13" t="s">
        <v>794</v>
      </c>
      <c r="H35" s="14" t="s">
        <v>795</v>
      </c>
      <c r="I35" s="14" t="s">
        <v>279</v>
      </c>
      <c r="J35" s="15">
        <v>288.83</v>
      </c>
      <c r="L35" s="29" t="s">
        <v>876</v>
      </c>
      <c r="M35" s="29" t="s">
        <v>1037</v>
      </c>
      <c r="N35" s="30">
        <v>0</v>
      </c>
    </row>
    <row r="36" spans="1:14" ht="15.5">
      <c r="A36" s="9" t="s">
        <v>877</v>
      </c>
      <c r="B36" s="10" t="s">
        <v>878</v>
      </c>
      <c r="C36" s="11" t="s">
        <v>879</v>
      </c>
      <c r="D36" s="12">
        <v>42324</v>
      </c>
      <c r="E36" s="12">
        <v>44389</v>
      </c>
      <c r="F36" s="12">
        <v>42324</v>
      </c>
      <c r="G36" s="13" t="s">
        <v>794</v>
      </c>
      <c r="H36" s="14" t="s">
        <v>795</v>
      </c>
      <c r="I36" s="14" t="s">
        <v>279</v>
      </c>
      <c r="J36" s="15">
        <v>288.83</v>
      </c>
      <c r="L36" s="29" t="s">
        <v>878</v>
      </c>
      <c r="M36" s="29" t="s">
        <v>1037</v>
      </c>
      <c r="N36" s="30">
        <v>0</v>
      </c>
    </row>
    <row r="37" spans="1:14" ht="15.5">
      <c r="A37" s="9" t="s">
        <v>880</v>
      </c>
      <c r="B37" s="10" t="s">
        <v>881</v>
      </c>
      <c r="C37" s="11" t="s">
        <v>882</v>
      </c>
      <c r="D37" s="12">
        <v>44476</v>
      </c>
      <c r="E37" s="12">
        <v>44476</v>
      </c>
      <c r="F37" s="12"/>
      <c r="G37" s="13" t="s">
        <v>794</v>
      </c>
      <c r="H37" s="14" t="s">
        <v>795</v>
      </c>
      <c r="I37" s="14" t="s">
        <v>279</v>
      </c>
      <c r="J37" s="15">
        <v>288.83</v>
      </c>
      <c r="L37" s="29" t="s">
        <v>881</v>
      </c>
      <c r="M37" s="29" t="s">
        <v>1037</v>
      </c>
      <c r="N37" s="30">
        <v>226</v>
      </c>
    </row>
    <row r="38" spans="1:14" ht="15.5">
      <c r="A38" s="9" t="s">
        <v>883</v>
      </c>
      <c r="B38" s="10" t="s">
        <v>884</v>
      </c>
      <c r="C38" s="11" t="s">
        <v>885</v>
      </c>
      <c r="D38" s="12">
        <v>44791</v>
      </c>
      <c r="E38" s="12">
        <v>44791</v>
      </c>
      <c r="F38" s="12"/>
      <c r="G38" s="13" t="s">
        <v>794</v>
      </c>
      <c r="H38" s="14" t="s">
        <v>795</v>
      </c>
      <c r="I38" s="14" t="s">
        <v>279</v>
      </c>
      <c r="J38" s="15">
        <v>288.83</v>
      </c>
      <c r="L38" s="29" t="s">
        <v>902</v>
      </c>
      <c r="M38" s="29" t="s">
        <v>1037</v>
      </c>
      <c r="N38" s="30">
        <v>424</v>
      </c>
    </row>
    <row r="39" spans="1:14" ht="15.5">
      <c r="A39" s="9">
        <v>2636</v>
      </c>
      <c r="B39" s="10" t="s">
        <v>886</v>
      </c>
      <c r="C39" s="11" t="s">
        <v>887</v>
      </c>
      <c r="D39" s="12">
        <v>45904</v>
      </c>
      <c r="E39" s="12">
        <v>45904</v>
      </c>
      <c r="F39" s="12"/>
      <c r="G39" s="13" t="s">
        <v>794</v>
      </c>
      <c r="H39" s="14" t="s">
        <v>795</v>
      </c>
      <c r="I39" s="14" t="s">
        <v>279</v>
      </c>
      <c r="J39" s="15">
        <v>288.83</v>
      </c>
      <c r="L39" s="29" t="s">
        <v>884</v>
      </c>
      <c r="M39" s="29" t="s">
        <v>1037</v>
      </c>
      <c r="N39" s="30">
        <v>0</v>
      </c>
    </row>
    <row r="40" spans="1:14" ht="15.5">
      <c r="A40" s="60" t="s">
        <v>888</v>
      </c>
      <c r="B40" s="10" t="s">
        <v>889</v>
      </c>
      <c r="C40" s="11" t="s">
        <v>890</v>
      </c>
      <c r="D40" s="12">
        <v>44952</v>
      </c>
      <c r="E40" s="12">
        <v>44952</v>
      </c>
      <c r="F40" s="12"/>
      <c r="G40" s="13" t="s">
        <v>794</v>
      </c>
      <c r="H40" s="14" t="s">
        <v>795</v>
      </c>
      <c r="I40" s="14" t="s">
        <v>279</v>
      </c>
      <c r="J40" s="15">
        <v>288.83</v>
      </c>
      <c r="L40" s="29" t="s">
        <v>886</v>
      </c>
      <c r="M40" s="29" t="s">
        <v>1037</v>
      </c>
      <c r="N40" s="30">
        <v>0</v>
      </c>
    </row>
    <row r="41" spans="1:14" ht="15.5">
      <c r="A41" s="9">
        <v>2627</v>
      </c>
      <c r="B41" s="10" t="s">
        <v>891</v>
      </c>
      <c r="C41" s="11" t="s">
        <v>892</v>
      </c>
      <c r="D41" s="12">
        <v>45862</v>
      </c>
      <c r="E41" s="12">
        <v>45862</v>
      </c>
      <c r="F41" s="12"/>
      <c r="G41" s="13" t="s">
        <v>794</v>
      </c>
      <c r="H41" s="14" t="s">
        <v>795</v>
      </c>
      <c r="I41" s="14" t="s">
        <v>279</v>
      </c>
      <c r="J41" s="15">
        <v>288.83</v>
      </c>
      <c r="L41" s="29" t="s">
        <v>889</v>
      </c>
      <c r="M41" s="29" t="s">
        <v>1037</v>
      </c>
      <c r="N41" s="30">
        <v>0</v>
      </c>
    </row>
    <row r="42" spans="1:14" ht="15.5">
      <c r="A42" s="9" t="s">
        <v>893</v>
      </c>
      <c r="B42" s="10" t="s">
        <v>894</v>
      </c>
      <c r="C42" s="11" t="s">
        <v>895</v>
      </c>
      <c r="D42" s="17">
        <v>45358</v>
      </c>
      <c r="E42" s="17">
        <v>45358</v>
      </c>
      <c r="F42" s="12"/>
      <c r="G42" s="13" t="s">
        <v>794</v>
      </c>
      <c r="H42" s="14" t="s">
        <v>795</v>
      </c>
      <c r="I42" s="14" t="s">
        <v>279</v>
      </c>
      <c r="J42" s="15">
        <v>288.83</v>
      </c>
      <c r="L42" s="29" t="s">
        <v>891</v>
      </c>
      <c r="M42" s="29" t="s">
        <v>1037</v>
      </c>
      <c r="N42" s="30">
        <v>0</v>
      </c>
    </row>
    <row r="43" spans="1:14" ht="15.5">
      <c r="A43" s="9" t="s">
        <v>896</v>
      </c>
      <c r="B43" s="10" t="s">
        <v>897</v>
      </c>
      <c r="C43" s="11" t="s">
        <v>898</v>
      </c>
      <c r="D43" s="12">
        <v>44574</v>
      </c>
      <c r="E43" s="12">
        <v>44574</v>
      </c>
      <c r="F43" s="12"/>
      <c r="G43" s="13" t="s">
        <v>794</v>
      </c>
      <c r="H43" s="14" t="s">
        <v>795</v>
      </c>
      <c r="I43" s="14" t="s">
        <v>279</v>
      </c>
      <c r="J43" s="15">
        <v>288.83</v>
      </c>
      <c r="L43" s="29" t="s">
        <v>894</v>
      </c>
      <c r="M43" s="29" t="s">
        <v>1037</v>
      </c>
      <c r="N43" s="30">
        <v>0</v>
      </c>
    </row>
    <row r="44" spans="1:14" ht="15.5">
      <c r="A44" s="9" t="s">
        <v>899</v>
      </c>
      <c r="B44" s="10" t="s">
        <v>900</v>
      </c>
      <c r="C44" s="11">
        <v>72008301672</v>
      </c>
      <c r="D44" s="12">
        <v>45141</v>
      </c>
      <c r="E44" s="12">
        <v>45141</v>
      </c>
      <c r="F44" s="12"/>
      <c r="G44" s="13" t="s">
        <v>794</v>
      </c>
      <c r="H44" s="14" t="s">
        <v>795</v>
      </c>
      <c r="I44" s="14" t="s">
        <v>279</v>
      </c>
      <c r="J44" s="15">
        <v>288.83</v>
      </c>
      <c r="L44" s="29" t="s">
        <v>897</v>
      </c>
      <c r="M44" s="29" t="s">
        <v>1037</v>
      </c>
      <c r="N44" s="30">
        <v>0</v>
      </c>
    </row>
    <row r="45" spans="1:14" ht="15.5">
      <c r="A45" s="9" t="s">
        <v>901</v>
      </c>
      <c r="B45" s="10" t="s">
        <v>902</v>
      </c>
      <c r="C45" s="11">
        <v>72099300351</v>
      </c>
      <c r="D45" s="12">
        <v>45113</v>
      </c>
      <c r="E45" s="12">
        <v>45113</v>
      </c>
      <c r="F45" s="12"/>
      <c r="G45" s="13" t="s">
        <v>794</v>
      </c>
      <c r="H45" s="14" t="s">
        <v>795</v>
      </c>
      <c r="I45" s="14" t="s">
        <v>355</v>
      </c>
      <c r="J45" s="15">
        <v>289.24</v>
      </c>
      <c r="L45" s="29" t="s">
        <v>900</v>
      </c>
      <c r="M45" s="29" t="s">
        <v>1037</v>
      </c>
      <c r="N45" s="30">
        <v>340</v>
      </c>
    </row>
    <row r="46" spans="1:14" ht="15.5">
      <c r="A46" s="9" t="s">
        <v>903</v>
      </c>
      <c r="B46" s="10" t="s">
        <v>904</v>
      </c>
      <c r="C46" s="11" t="s">
        <v>905</v>
      </c>
      <c r="D46" s="12">
        <v>45386</v>
      </c>
      <c r="E46" s="12">
        <v>45386</v>
      </c>
      <c r="F46" s="12"/>
      <c r="G46" s="13" t="s">
        <v>794</v>
      </c>
      <c r="H46" s="14" t="s">
        <v>906</v>
      </c>
      <c r="I46" s="14" t="s">
        <v>83</v>
      </c>
      <c r="J46" s="15">
        <v>280</v>
      </c>
      <c r="L46" s="29" t="s">
        <v>955</v>
      </c>
      <c r="M46" s="29" t="s">
        <v>1039</v>
      </c>
      <c r="N46" s="30">
        <v>339</v>
      </c>
    </row>
    <row r="47" spans="1:14" ht="15.5">
      <c r="A47" s="9" t="s">
        <v>907</v>
      </c>
      <c r="B47" s="10" t="s">
        <v>908</v>
      </c>
      <c r="C47" s="11" t="s">
        <v>909</v>
      </c>
      <c r="D47" s="12">
        <v>45232</v>
      </c>
      <c r="E47" s="12">
        <v>45232</v>
      </c>
      <c r="F47" s="12"/>
      <c r="G47" s="13" t="s">
        <v>794</v>
      </c>
      <c r="H47" s="14" t="s">
        <v>906</v>
      </c>
      <c r="I47" s="14" t="s">
        <v>83</v>
      </c>
      <c r="J47" s="15">
        <v>280</v>
      </c>
      <c r="L47" s="29" t="s">
        <v>916</v>
      </c>
      <c r="M47" s="29" t="s">
        <v>1039</v>
      </c>
      <c r="N47" s="30">
        <v>340</v>
      </c>
    </row>
    <row r="48" spans="1:14" ht="15.5">
      <c r="A48" s="18" t="s">
        <v>910</v>
      </c>
      <c r="B48" s="10" t="s">
        <v>911</v>
      </c>
      <c r="C48" s="19" t="s">
        <v>912</v>
      </c>
      <c r="D48" s="17">
        <v>44455</v>
      </c>
      <c r="E48" s="17">
        <v>44455</v>
      </c>
      <c r="F48" s="17"/>
      <c r="G48" s="20" t="s">
        <v>794</v>
      </c>
      <c r="H48" s="10" t="s">
        <v>906</v>
      </c>
      <c r="I48" s="14" t="s">
        <v>83</v>
      </c>
      <c r="J48" s="15">
        <v>280</v>
      </c>
      <c r="L48" s="29" t="s">
        <v>904</v>
      </c>
      <c r="M48" s="29" t="s">
        <v>1039</v>
      </c>
      <c r="N48" s="30">
        <v>0</v>
      </c>
    </row>
    <row r="49" spans="1:14" ht="15.5">
      <c r="A49" s="9">
        <v>2610</v>
      </c>
      <c r="B49" s="10" t="s">
        <v>913</v>
      </c>
      <c r="C49" s="11" t="s">
        <v>914</v>
      </c>
      <c r="D49" s="12">
        <v>45799</v>
      </c>
      <c r="E49" s="12">
        <v>45799</v>
      </c>
      <c r="F49" s="12"/>
      <c r="G49" s="13" t="s">
        <v>794</v>
      </c>
      <c r="H49" s="14" t="s">
        <v>906</v>
      </c>
      <c r="I49" s="14" t="s">
        <v>83</v>
      </c>
      <c r="J49" s="15">
        <v>280</v>
      </c>
      <c r="L49" s="29" t="s">
        <v>958</v>
      </c>
      <c r="M49" s="29" t="s">
        <v>1039</v>
      </c>
      <c r="N49" s="30">
        <v>311</v>
      </c>
    </row>
    <row r="50" spans="1:14" ht="15.5">
      <c r="A50" s="9" t="s">
        <v>915</v>
      </c>
      <c r="B50" s="10" t="s">
        <v>916</v>
      </c>
      <c r="C50" s="11">
        <v>72048809452</v>
      </c>
      <c r="D50" s="12">
        <v>44623</v>
      </c>
      <c r="E50" s="12">
        <v>44623</v>
      </c>
      <c r="F50" s="12"/>
      <c r="G50" s="13" t="s">
        <v>794</v>
      </c>
      <c r="H50" s="14" t="s">
        <v>906</v>
      </c>
      <c r="I50" s="14" t="s">
        <v>279</v>
      </c>
      <c r="J50" s="15">
        <v>288.83</v>
      </c>
      <c r="L50" s="29" t="s">
        <v>918</v>
      </c>
      <c r="M50" s="29" t="s">
        <v>1039</v>
      </c>
      <c r="N50" s="30">
        <v>226</v>
      </c>
    </row>
    <row r="51" spans="1:14" ht="15.5">
      <c r="A51" s="9" t="s">
        <v>917</v>
      </c>
      <c r="B51" s="10" t="s">
        <v>918</v>
      </c>
      <c r="C51" s="11" t="s">
        <v>919</v>
      </c>
      <c r="D51" s="12">
        <v>40455</v>
      </c>
      <c r="E51" s="12">
        <v>44389</v>
      </c>
      <c r="F51" s="12">
        <v>40455</v>
      </c>
      <c r="G51" s="13" t="s">
        <v>794</v>
      </c>
      <c r="H51" s="14" t="s">
        <v>906</v>
      </c>
      <c r="I51" s="14" t="s">
        <v>279</v>
      </c>
      <c r="J51" s="15">
        <v>288.83</v>
      </c>
      <c r="L51" s="29" t="s">
        <v>921</v>
      </c>
      <c r="M51" s="29" t="s">
        <v>1039</v>
      </c>
      <c r="N51" s="30">
        <v>340</v>
      </c>
    </row>
    <row r="52" spans="1:14" ht="15.5">
      <c r="A52" s="9" t="s">
        <v>920</v>
      </c>
      <c r="B52" s="10" t="s">
        <v>921</v>
      </c>
      <c r="C52" s="11" t="s">
        <v>922</v>
      </c>
      <c r="D52" s="12">
        <v>38792</v>
      </c>
      <c r="E52" s="12">
        <v>44389</v>
      </c>
      <c r="F52" s="12">
        <v>38792</v>
      </c>
      <c r="G52" s="13" t="s">
        <v>794</v>
      </c>
      <c r="H52" s="14" t="s">
        <v>906</v>
      </c>
      <c r="I52" s="14" t="s">
        <v>279</v>
      </c>
      <c r="J52" s="15">
        <v>288.83</v>
      </c>
      <c r="L52" s="29" t="s">
        <v>924</v>
      </c>
      <c r="M52" s="29" t="s">
        <v>1039</v>
      </c>
      <c r="N52" s="30">
        <v>0</v>
      </c>
    </row>
    <row r="53" spans="1:14" ht="15.5">
      <c r="A53" s="9" t="s">
        <v>923</v>
      </c>
      <c r="B53" s="10" t="s">
        <v>924</v>
      </c>
      <c r="C53" s="11" t="s">
        <v>925</v>
      </c>
      <c r="D53" s="12">
        <v>45365</v>
      </c>
      <c r="E53" s="12">
        <v>45365</v>
      </c>
      <c r="F53" s="12"/>
      <c r="G53" s="13" t="s">
        <v>794</v>
      </c>
      <c r="H53" s="14" t="s">
        <v>906</v>
      </c>
      <c r="I53" s="14" t="s">
        <v>279</v>
      </c>
      <c r="J53" s="15">
        <v>288.83</v>
      </c>
      <c r="L53" s="29" t="s">
        <v>927</v>
      </c>
      <c r="M53" s="29" t="s">
        <v>1039</v>
      </c>
      <c r="N53" s="30">
        <v>397</v>
      </c>
    </row>
    <row r="54" spans="1:14" ht="15.5">
      <c r="A54" s="9" t="s">
        <v>926</v>
      </c>
      <c r="B54" s="10" t="s">
        <v>927</v>
      </c>
      <c r="C54" s="11" t="s">
        <v>928</v>
      </c>
      <c r="D54" s="12">
        <v>44476</v>
      </c>
      <c r="E54" s="12">
        <v>44476</v>
      </c>
      <c r="F54" s="12"/>
      <c r="G54" s="13" t="s">
        <v>794</v>
      </c>
      <c r="H54" s="14" t="s">
        <v>906</v>
      </c>
      <c r="I54" s="14" t="s">
        <v>279</v>
      </c>
      <c r="J54" s="15">
        <v>288.83</v>
      </c>
      <c r="L54" s="29" t="s">
        <v>930</v>
      </c>
      <c r="M54" s="29" t="s">
        <v>1039</v>
      </c>
      <c r="N54" s="30">
        <v>0</v>
      </c>
    </row>
    <row r="55" spans="1:14" ht="15.5">
      <c r="A55" s="9" t="s">
        <v>929</v>
      </c>
      <c r="B55" s="10" t="s">
        <v>930</v>
      </c>
      <c r="C55" s="11" t="s">
        <v>931</v>
      </c>
      <c r="D55" s="12">
        <v>45350</v>
      </c>
      <c r="E55" s="12">
        <v>45350</v>
      </c>
      <c r="F55" s="12"/>
      <c r="G55" s="13" t="s">
        <v>794</v>
      </c>
      <c r="H55" s="14" t="s">
        <v>906</v>
      </c>
      <c r="I55" s="14" t="s">
        <v>279</v>
      </c>
      <c r="J55" s="15">
        <v>288.83</v>
      </c>
      <c r="L55" s="29" t="s">
        <v>933</v>
      </c>
      <c r="M55" s="29" t="s">
        <v>1039</v>
      </c>
      <c r="N55" s="30">
        <v>509</v>
      </c>
    </row>
    <row r="56" spans="1:14" ht="15.5">
      <c r="A56" s="9" t="s">
        <v>932</v>
      </c>
      <c r="B56" s="10" t="s">
        <v>933</v>
      </c>
      <c r="C56" s="11">
        <v>72008120577</v>
      </c>
      <c r="D56" s="12">
        <v>43290</v>
      </c>
      <c r="E56" s="12">
        <v>44389</v>
      </c>
      <c r="F56" s="12">
        <v>43290</v>
      </c>
      <c r="G56" s="13" t="s">
        <v>794</v>
      </c>
      <c r="H56" s="14" t="s">
        <v>906</v>
      </c>
      <c r="I56" s="14" t="s">
        <v>279</v>
      </c>
      <c r="J56" s="15">
        <v>288.83</v>
      </c>
      <c r="L56" s="29" t="s">
        <v>908</v>
      </c>
      <c r="M56" s="29" t="s">
        <v>1039</v>
      </c>
      <c r="N56" s="30">
        <v>0</v>
      </c>
    </row>
    <row r="57" spans="1:14" ht="15.5">
      <c r="A57" s="9" t="s">
        <v>934</v>
      </c>
      <c r="B57" s="10" t="s">
        <v>935</v>
      </c>
      <c r="C57" s="11" t="s">
        <v>936</v>
      </c>
      <c r="D57" s="12">
        <v>45484</v>
      </c>
      <c r="E57" s="12">
        <v>45484</v>
      </c>
      <c r="F57" s="12"/>
      <c r="G57" s="13" t="s">
        <v>794</v>
      </c>
      <c r="H57" s="14" t="s">
        <v>906</v>
      </c>
      <c r="I57" s="14" t="s">
        <v>279</v>
      </c>
      <c r="J57" s="15">
        <v>288.83</v>
      </c>
      <c r="L57" s="29" t="s">
        <v>935</v>
      </c>
      <c r="M57" s="29" t="s">
        <v>1039</v>
      </c>
      <c r="N57" s="30">
        <v>340</v>
      </c>
    </row>
    <row r="58" spans="1:14" ht="15.5">
      <c r="A58" s="9">
        <v>2192</v>
      </c>
      <c r="B58" s="10" t="s">
        <v>937</v>
      </c>
      <c r="C58" s="11" t="s">
        <v>938</v>
      </c>
      <c r="D58" s="12">
        <v>45953</v>
      </c>
      <c r="E58" s="12">
        <v>45953</v>
      </c>
      <c r="F58" s="12"/>
      <c r="G58" s="13" t="s">
        <v>794</v>
      </c>
      <c r="H58" s="14" t="s">
        <v>906</v>
      </c>
      <c r="I58" s="14" t="s">
        <v>279</v>
      </c>
      <c r="J58" s="15">
        <v>288.83</v>
      </c>
      <c r="L58" s="29" t="s">
        <v>937</v>
      </c>
      <c r="M58" s="29" t="s">
        <v>1039</v>
      </c>
      <c r="N58" s="30">
        <v>340</v>
      </c>
    </row>
    <row r="59" spans="1:14" ht="15.5">
      <c r="A59" s="9" t="s">
        <v>939</v>
      </c>
      <c r="B59" s="10" t="s">
        <v>940</v>
      </c>
      <c r="C59" s="11">
        <v>72937302130</v>
      </c>
      <c r="D59" s="12">
        <v>44595</v>
      </c>
      <c r="E59" s="12">
        <v>44595</v>
      </c>
      <c r="F59" s="12"/>
      <c r="G59" s="13" t="s">
        <v>794</v>
      </c>
      <c r="H59" s="14" t="s">
        <v>906</v>
      </c>
      <c r="I59" s="14" t="s">
        <v>279</v>
      </c>
      <c r="J59" s="15">
        <v>288.83</v>
      </c>
      <c r="L59" s="29" t="s">
        <v>940</v>
      </c>
      <c r="M59" s="29" t="s">
        <v>1039</v>
      </c>
      <c r="N59" s="30">
        <v>311</v>
      </c>
    </row>
    <row r="60" spans="1:14" ht="15.5">
      <c r="A60" s="9" t="s">
        <v>941</v>
      </c>
      <c r="B60" s="10" t="s">
        <v>942</v>
      </c>
      <c r="C60" s="11" t="s">
        <v>943</v>
      </c>
      <c r="D60" s="12">
        <v>45379</v>
      </c>
      <c r="E60" s="12">
        <v>45379</v>
      </c>
      <c r="F60" s="12"/>
      <c r="G60" s="13" t="s">
        <v>794</v>
      </c>
      <c r="H60" s="14" t="s">
        <v>906</v>
      </c>
      <c r="I60" s="14" t="s">
        <v>279</v>
      </c>
      <c r="J60" s="15">
        <v>288.83</v>
      </c>
      <c r="L60" s="29" t="s">
        <v>1040</v>
      </c>
      <c r="M60" s="29" t="s">
        <v>1039</v>
      </c>
      <c r="N60" s="30">
        <v>339</v>
      </c>
    </row>
    <row r="61" spans="1:14" ht="15.5">
      <c r="A61" s="9" t="s">
        <v>944</v>
      </c>
      <c r="B61" s="10" t="s">
        <v>945</v>
      </c>
      <c r="C61" s="11">
        <v>72058626135</v>
      </c>
      <c r="D61" s="12">
        <v>44595</v>
      </c>
      <c r="E61" s="12">
        <v>44595</v>
      </c>
      <c r="F61" s="12"/>
      <c r="G61" s="13" t="s">
        <v>794</v>
      </c>
      <c r="H61" s="14" t="s">
        <v>906</v>
      </c>
      <c r="I61" s="14" t="s">
        <v>279</v>
      </c>
      <c r="J61" s="15">
        <v>288.83</v>
      </c>
      <c r="L61" s="29" t="s">
        <v>945</v>
      </c>
      <c r="M61" s="29" t="s">
        <v>1039</v>
      </c>
      <c r="N61" s="30">
        <v>311</v>
      </c>
    </row>
    <row r="62" spans="1:14" ht="15.5">
      <c r="A62" s="9" t="s">
        <v>946</v>
      </c>
      <c r="B62" s="10" t="s">
        <v>947</v>
      </c>
      <c r="C62" s="11" t="s">
        <v>948</v>
      </c>
      <c r="D62" s="12">
        <v>39916</v>
      </c>
      <c r="E62" s="12">
        <v>44389</v>
      </c>
      <c r="F62" s="12">
        <v>39916</v>
      </c>
      <c r="G62" s="13" t="s">
        <v>794</v>
      </c>
      <c r="H62" s="14" t="s">
        <v>906</v>
      </c>
      <c r="I62" s="14" t="s">
        <v>279</v>
      </c>
      <c r="J62" s="15">
        <v>288.83</v>
      </c>
      <c r="L62" s="29" t="s">
        <v>947</v>
      </c>
      <c r="M62" s="29" t="s">
        <v>1039</v>
      </c>
      <c r="N62" s="30">
        <v>0</v>
      </c>
    </row>
    <row r="63" spans="1:14" ht="15.5">
      <c r="A63" s="9" t="s">
        <v>949</v>
      </c>
      <c r="B63" s="10" t="s">
        <v>950</v>
      </c>
      <c r="C63" s="11">
        <v>52230519960</v>
      </c>
      <c r="D63" s="12">
        <v>45204</v>
      </c>
      <c r="E63" s="12">
        <v>45204</v>
      </c>
      <c r="F63" s="12"/>
      <c r="G63" s="13" t="s">
        <v>794</v>
      </c>
      <c r="H63" s="14" t="s">
        <v>906</v>
      </c>
      <c r="I63" s="14" t="s">
        <v>279</v>
      </c>
      <c r="J63" s="15">
        <v>288.83</v>
      </c>
      <c r="L63" s="29" t="s">
        <v>950</v>
      </c>
      <c r="M63" s="29" t="s">
        <v>1039</v>
      </c>
      <c r="N63" s="30">
        <v>226</v>
      </c>
    </row>
    <row r="64" spans="1:14" ht="15.5">
      <c r="A64" s="9" t="s">
        <v>951</v>
      </c>
      <c r="B64" s="10" t="s">
        <v>952</v>
      </c>
      <c r="C64" s="11" t="s">
        <v>953</v>
      </c>
      <c r="D64" s="12">
        <v>45393</v>
      </c>
      <c r="E64" s="12">
        <v>45393</v>
      </c>
      <c r="F64" s="12"/>
      <c r="G64" s="13" t="s">
        <v>794</v>
      </c>
      <c r="H64" s="14" t="s">
        <v>906</v>
      </c>
      <c r="I64" s="14" t="s">
        <v>279</v>
      </c>
      <c r="J64" s="15">
        <v>288.83</v>
      </c>
      <c r="L64" s="29" t="s">
        <v>911</v>
      </c>
      <c r="M64" s="29" t="s">
        <v>1039</v>
      </c>
      <c r="N64" s="30">
        <v>0</v>
      </c>
    </row>
    <row r="65" spans="1:14" ht="15.5">
      <c r="A65" s="9" t="s">
        <v>954</v>
      </c>
      <c r="B65" s="10" t="s">
        <v>955</v>
      </c>
      <c r="C65" s="11" t="s">
        <v>956</v>
      </c>
      <c r="D65" s="12">
        <v>43245</v>
      </c>
      <c r="E65" s="12">
        <v>44389</v>
      </c>
      <c r="F65" s="12">
        <v>43245</v>
      </c>
      <c r="G65" s="13" t="s">
        <v>794</v>
      </c>
      <c r="H65" s="14" t="s">
        <v>906</v>
      </c>
      <c r="I65" s="14" t="s">
        <v>355</v>
      </c>
      <c r="J65" s="15">
        <v>289.24</v>
      </c>
      <c r="L65" s="29" t="s">
        <v>913</v>
      </c>
      <c r="M65" s="29" t="s">
        <v>1039</v>
      </c>
      <c r="N65" s="30">
        <v>226</v>
      </c>
    </row>
    <row r="66" spans="1:14" ht="15.5">
      <c r="A66" s="9" t="s">
        <v>957</v>
      </c>
      <c r="B66" s="10" t="s">
        <v>958</v>
      </c>
      <c r="C66" s="11" t="s">
        <v>959</v>
      </c>
      <c r="D66" s="12">
        <v>44840</v>
      </c>
      <c r="E66" s="12">
        <v>44840</v>
      </c>
      <c r="F66" s="12"/>
      <c r="G66" s="13" t="s">
        <v>794</v>
      </c>
      <c r="H66" s="14" t="s">
        <v>906</v>
      </c>
      <c r="I66" s="14" t="s">
        <v>355</v>
      </c>
      <c r="J66" s="15">
        <v>289.24</v>
      </c>
      <c r="L66" s="29" t="s">
        <v>952</v>
      </c>
      <c r="M66" s="29" t="s">
        <v>1039</v>
      </c>
      <c r="N66" s="30">
        <v>226</v>
      </c>
    </row>
    <row r="67" spans="1:14" ht="15.5">
      <c r="A67" s="9">
        <v>2509</v>
      </c>
      <c r="B67" s="10" t="s">
        <v>960</v>
      </c>
      <c r="C67" s="11" t="s">
        <v>961</v>
      </c>
      <c r="D67" s="12">
        <v>45673</v>
      </c>
      <c r="E67" s="12">
        <v>45673</v>
      </c>
      <c r="F67" s="12"/>
      <c r="G67" s="13" t="s">
        <v>794</v>
      </c>
      <c r="H67" s="14" t="s">
        <v>962</v>
      </c>
      <c r="I67" s="14" t="s">
        <v>83</v>
      </c>
      <c r="J67" s="15">
        <v>280</v>
      </c>
      <c r="L67" s="29" t="s">
        <v>964</v>
      </c>
      <c r="M67" s="29" t="s">
        <v>1041</v>
      </c>
      <c r="N67" s="30">
        <v>311</v>
      </c>
    </row>
    <row r="68" spans="1:14" ht="15.5">
      <c r="A68" s="9" t="s">
        <v>963</v>
      </c>
      <c r="B68" s="10" t="s">
        <v>964</v>
      </c>
      <c r="C68" s="11" t="s">
        <v>965</v>
      </c>
      <c r="D68" s="12">
        <v>44966</v>
      </c>
      <c r="E68" s="12">
        <v>44966</v>
      </c>
      <c r="F68" s="12"/>
      <c r="G68" s="13" t="s">
        <v>794</v>
      </c>
      <c r="H68" s="14" t="s">
        <v>962</v>
      </c>
      <c r="I68" s="14" t="s">
        <v>355</v>
      </c>
      <c r="J68" s="15">
        <v>289.24</v>
      </c>
      <c r="L68" s="29" t="s">
        <v>967</v>
      </c>
      <c r="M68" s="29" t="s">
        <v>1041</v>
      </c>
      <c r="N68" s="30">
        <v>0</v>
      </c>
    </row>
    <row r="69" spans="1:14" ht="15.5">
      <c r="A69" s="9" t="s">
        <v>966</v>
      </c>
      <c r="B69" s="10" t="s">
        <v>967</v>
      </c>
      <c r="C69" s="11" t="s">
        <v>968</v>
      </c>
      <c r="D69" s="12">
        <v>45393</v>
      </c>
      <c r="E69" s="12">
        <v>45393</v>
      </c>
      <c r="F69" s="12"/>
      <c r="G69" s="13" t="s">
        <v>794</v>
      </c>
      <c r="H69" s="14" t="s">
        <v>962</v>
      </c>
      <c r="I69" s="14" t="s">
        <v>355</v>
      </c>
      <c r="J69" s="15">
        <v>289.24</v>
      </c>
      <c r="L69" s="29" t="s">
        <v>970</v>
      </c>
      <c r="M69" s="29" t="s">
        <v>1041</v>
      </c>
      <c r="N69" s="30">
        <v>509</v>
      </c>
    </row>
    <row r="70" spans="1:14" ht="15.5">
      <c r="A70" s="9" t="s">
        <v>969</v>
      </c>
      <c r="B70" s="10" t="s">
        <v>970</v>
      </c>
      <c r="C70" s="11" t="s">
        <v>971</v>
      </c>
      <c r="D70" s="12">
        <v>45204</v>
      </c>
      <c r="E70" s="12">
        <v>45204</v>
      </c>
      <c r="F70" s="12"/>
      <c r="G70" s="13" t="s">
        <v>794</v>
      </c>
      <c r="H70" s="14" t="s">
        <v>962</v>
      </c>
      <c r="I70" s="14" t="s">
        <v>355</v>
      </c>
      <c r="J70" s="15">
        <v>289.24</v>
      </c>
      <c r="L70" s="29" t="s">
        <v>973</v>
      </c>
      <c r="M70" s="29" t="s">
        <v>1041</v>
      </c>
      <c r="N70" s="30">
        <v>453</v>
      </c>
    </row>
    <row r="71" spans="1:14" ht="15.5">
      <c r="A71" s="9" t="s">
        <v>972</v>
      </c>
      <c r="B71" s="10" t="s">
        <v>973</v>
      </c>
      <c r="C71" s="11" t="s">
        <v>974</v>
      </c>
      <c r="D71" s="12">
        <v>40077</v>
      </c>
      <c r="E71" s="12">
        <v>44389</v>
      </c>
      <c r="F71" s="12">
        <v>40077</v>
      </c>
      <c r="G71" s="13" t="s">
        <v>794</v>
      </c>
      <c r="H71" s="14" t="s">
        <v>962</v>
      </c>
      <c r="I71" s="14" t="s">
        <v>355</v>
      </c>
      <c r="J71" s="15">
        <v>289.24</v>
      </c>
      <c r="L71" s="29" t="s">
        <v>976</v>
      </c>
      <c r="M71" s="29" t="s">
        <v>1041</v>
      </c>
      <c r="N71" s="30">
        <v>424</v>
      </c>
    </row>
    <row r="72" spans="1:14" ht="15.5">
      <c r="A72" s="9" t="s">
        <v>975</v>
      </c>
      <c r="B72" s="10" t="s">
        <v>976</v>
      </c>
      <c r="C72" s="11" t="s">
        <v>977</v>
      </c>
      <c r="D72" s="12">
        <v>40561</v>
      </c>
      <c r="E72" s="12">
        <v>44389</v>
      </c>
      <c r="F72" s="12">
        <v>40561</v>
      </c>
      <c r="G72" s="13" t="s">
        <v>794</v>
      </c>
      <c r="H72" s="14" t="s">
        <v>962</v>
      </c>
      <c r="I72" s="14" t="s">
        <v>355</v>
      </c>
      <c r="J72" s="15">
        <v>289.24</v>
      </c>
      <c r="L72" s="29" t="s">
        <v>979</v>
      </c>
      <c r="M72" s="29" t="s">
        <v>1041</v>
      </c>
      <c r="N72" s="30">
        <v>226</v>
      </c>
    </row>
    <row r="73" spans="1:14" ht="15.5">
      <c r="A73" s="9" t="s">
        <v>978</v>
      </c>
      <c r="B73" s="10" t="s">
        <v>979</v>
      </c>
      <c r="C73" s="11" t="s">
        <v>980</v>
      </c>
      <c r="D73" s="12">
        <v>45209</v>
      </c>
      <c r="E73" s="12">
        <v>45209</v>
      </c>
      <c r="F73" s="12"/>
      <c r="G73" s="13" t="s">
        <v>794</v>
      </c>
      <c r="H73" s="14" t="s">
        <v>962</v>
      </c>
      <c r="I73" s="14" t="s">
        <v>355</v>
      </c>
      <c r="J73" s="15">
        <v>289.24</v>
      </c>
      <c r="L73" s="29" t="s">
        <v>1042</v>
      </c>
      <c r="M73" s="29" t="s">
        <v>1043</v>
      </c>
      <c r="N73" s="30">
        <v>0</v>
      </c>
    </row>
    <row r="74" spans="1:14" ht="15.5">
      <c r="A74" s="9" t="s">
        <v>981</v>
      </c>
      <c r="B74" s="10" t="s">
        <v>779</v>
      </c>
      <c r="C74" s="11" t="s">
        <v>982</v>
      </c>
      <c r="D74" s="12">
        <v>44581</v>
      </c>
      <c r="E74" s="12">
        <v>44581</v>
      </c>
      <c r="F74" s="12"/>
      <c r="G74" s="13" t="s">
        <v>794</v>
      </c>
      <c r="H74" s="14" t="s">
        <v>508</v>
      </c>
      <c r="I74" s="14" t="s">
        <v>83</v>
      </c>
      <c r="J74" s="15">
        <v>280</v>
      </c>
      <c r="L74" s="29" t="s">
        <v>987</v>
      </c>
      <c r="M74" s="29" t="s">
        <v>1043</v>
      </c>
      <c r="N74" s="30">
        <v>113</v>
      </c>
    </row>
    <row r="75" spans="1:14" ht="15.5">
      <c r="A75" s="9" t="s">
        <v>983</v>
      </c>
      <c r="B75" s="10" t="s">
        <v>780</v>
      </c>
      <c r="C75" s="11">
        <v>50169987349</v>
      </c>
      <c r="D75" s="12">
        <v>45113</v>
      </c>
      <c r="E75" s="12">
        <v>45113</v>
      </c>
      <c r="F75" s="12"/>
      <c r="G75" s="13" t="s">
        <v>794</v>
      </c>
      <c r="H75" s="14" t="s">
        <v>508</v>
      </c>
      <c r="I75" s="14" t="s">
        <v>83</v>
      </c>
      <c r="J75" s="15">
        <v>280</v>
      </c>
      <c r="L75" s="29" t="s">
        <v>1012</v>
      </c>
      <c r="M75" s="29" t="s">
        <v>1043</v>
      </c>
      <c r="N75" s="30">
        <v>226</v>
      </c>
    </row>
    <row r="76" spans="1:14" ht="15.5">
      <c r="A76" s="9" t="s">
        <v>984</v>
      </c>
      <c r="B76" s="10" t="s">
        <v>781</v>
      </c>
      <c r="C76" s="11" t="s">
        <v>985</v>
      </c>
      <c r="D76" s="12">
        <v>45316</v>
      </c>
      <c r="E76" s="12">
        <v>45316</v>
      </c>
      <c r="F76" s="12"/>
      <c r="G76" s="13" t="s">
        <v>794</v>
      </c>
      <c r="H76" s="14" t="s">
        <v>508</v>
      </c>
      <c r="I76" s="14" t="s">
        <v>83</v>
      </c>
      <c r="J76" s="15">
        <v>280</v>
      </c>
      <c r="L76" s="29" t="s">
        <v>991</v>
      </c>
      <c r="M76" s="29" t="s">
        <v>1043</v>
      </c>
      <c r="N76" s="30">
        <v>113</v>
      </c>
    </row>
    <row r="77" spans="1:14" ht="15.5">
      <c r="A77" s="9" t="s">
        <v>986</v>
      </c>
      <c r="B77" s="10" t="s">
        <v>987</v>
      </c>
      <c r="C77" s="11" t="s">
        <v>988</v>
      </c>
      <c r="D77" s="12">
        <v>45029</v>
      </c>
      <c r="E77" s="12">
        <v>45029</v>
      </c>
      <c r="F77" s="12"/>
      <c r="G77" s="13" t="s">
        <v>794</v>
      </c>
      <c r="H77" s="14" t="s">
        <v>989</v>
      </c>
      <c r="I77" s="14" t="s">
        <v>83</v>
      </c>
      <c r="J77" s="15">
        <v>280</v>
      </c>
      <c r="L77" s="29" t="s">
        <v>1015</v>
      </c>
      <c r="M77" s="29" t="s">
        <v>1043</v>
      </c>
      <c r="N77" s="30">
        <v>311</v>
      </c>
    </row>
    <row r="78" spans="1:14" ht="15.5">
      <c r="A78" s="9" t="s">
        <v>990</v>
      </c>
      <c r="B78" s="10" t="s">
        <v>991</v>
      </c>
      <c r="C78" s="11" t="s">
        <v>992</v>
      </c>
      <c r="D78" s="12">
        <v>41485</v>
      </c>
      <c r="E78" s="12">
        <v>44389</v>
      </c>
      <c r="F78" s="12">
        <v>41485</v>
      </c>
      <c r="G78" s="13" t="s">
        <v>794</v>
      </c>
      <c r="H78" s="14" t="s">
        <v>989</v>
      </c>
      <c r="I78" s="14" t="s">
        <v>83</v>
      </c>
      <c r="J78" s="15">
        <v>280</v>
      </c>
      <c r="L78" s="29" t="s">
        <v>994</v>
      </c>
      <c r="M78" s="29" t="s">
        <v>1043</v>
      </c>
      <c r="N78" s="30">
        <v>0</v>
      </c>
    </row>
    <row r="79" spans="1:14" ht="15.5">
      <c r="A79" s="9" t="s">
        <v>993</v>
      </c>
      <c r="B79" s="10" t="s">
        <v>994</v>
      </c>
      <c r="C79" s="11" t="s">
        <v>995</v>
      </c>
      <c r="D79" s="12">
        <v>44644</v>
      </c>
      <c r="E79" s="12">
        <v>44644</v>
      </c>
      <c r="F79" s="12"/>
      <c r="G79" s="13" t="s">
        <v>794</v>
      </c>
      <c r="H79" s="14" t="s">
        <v>989</v>
      </c>
      <c r="I79" s="14" t="s">
        <v>83</v>
      </c>
      <c r="J79" s="15">
        <v>280</v>
      </c>
      <c r="L79" s="29" t="s">
        <v>997</v>
      </c>
      <c r="M79" s="29" t="s">
        <v>1043</v>
      </c>
      <c r="N79" s="30">
        <v>226</v>
      </c>
    </row>
    <row r="80" spans="1:14" ht="15.5">
      <c r="A80" s="9" t="s">
        <v>996</v>
      </c>
      <c r="B80" s="10" t="s">
        <v>997</v>
      </c>
      <c r="C80" s="11">
        <v>72947855432</v>
      </c>
      <c r="D80" s="12">
        <v>44756</v>
      </c>
      <c r="E80" s="12">
        <v>44756</v>
      </c>
      <c r="F80" s="12"/>
      <c r="G80" s="13" t="s">
        <v>794</v>
      </c>
      <c r="H80" s="14" t="s">
        <v>989</v>
      </c>
      <c r="I80" s="14" t="s">
        <v>83</v>
      </c>
      <c r="J80" s="15">
        <v>280</v>
      </c>
      <c r="L80" s="29" t="s">
        <v>1018</v>
      </c>
      <c r="M80" s="29" t="s">
        <v>1043</v>
      </c>
      <c r="N80" s="30">
        <v>0</v>
      </c>
    </row>
    <row r="81" spans="1:14" ht="15.5">
      <c r="A81" s="9">
        <v>2673</v>
      </c>
      <c r="B81" s="10" t="s">
        <v>998</v>
      </c>
      <c r="C81" s="11" t="s">
        <v>999</v>
      </c>
      <c r="D81" s="12">
        <v>45960</v>
      </c>
      <c r="E81" s="12">
        <v>45960</v>
      </c>
      <c r="F81" s="12"/>
      <c r="G81" s="13" t="s">
        <v>794</v>
      </c>
      <c r="H81" s="14" t="s">
        <v>989</v>
      </c>
      <c r="I81" s="14" t="s">
        <v>83</v>
      </c>
      <c r="J81" s="15">
        <v>280</v>
      </c>
      <c r="L81" s="29" t="s">
        <v>1021</v>
      </c>
      <c r="M81" s="29" t="s">
        <v>1043</v>
      </c>
      <c r="N81" s="30">
        <v>226</v>
      </c>
    </row>
    <row r="82" spans="1:14" ht="15.5">
      <c r="A82" s="9" t="s">
        <v>1000</v>
      </c>
      <c r="B82" s="10" t="s">
        <v>1001</v>
      </c>
      <c r="C82" s="11" t="s">
        <v>1002</v>
      </c>
      <c r="D82" s="12">
        <v>45365</v>
      </c>
      <c r="E82" s="12">
        <v>45365</v>
      </c>
      <c r="F82" s="12"/>
      <c r="G82" s="13" t="s">
        <v>794</v>
      </c>
      <c r="H82" s="14" t="s">
        <v>989</v>
      </c>
      <c r="I82" s="14" t="s">
        <v>83</v>
      </c>
      <c r="J82" s="15">
        <v>280</v>
      </c>
      <c r="L82" s="29" t="s">
        <v>1024</v>
      </c>
      <c r="M82" s="29" t="s">
        <v>1043</v>
      </c>
      <c r="N82" s="30">
        <v>226</v>
      </c>
    </row>
    <row r="83" spans="1:14" ht="15.5">
      <c r="A83" s="9" t="s">
        <v>1003</v>
      </c>
      <c r="B83" s="10" t="s">
        <v>1004</v>
      </c>
      <c r="C83" s="11" t="s">
        <v>1005</v>
      </c>
      <c r="D83" s="12">
        <v>44518</v>
      </c>
      <c r="E83" s="12">
        <v>44518</v>
      </c>
      <c r="F83" s="12"/>
      <c r="G83" s="13" t="s">
        <v>794</v>
      </c>
      <c r="H83" s="14" t="s">
        <v>989</v>
      </c>
      <c r="I83" s="14" t="s">
        <v>83</v>
      </c>
      <c r="J83" s="15">
        <v>280</v>
      </c>
      <c r="L83" s="29" t="s">
        <v>1027</v>
      </c>
      <c r="M83" s="29" t="s">
        <v>1043</v>
      </c>
      <c r="N83" s="30">
        <v>226</v>
      </c>
    </row>
    <row r="84" spans="1:14" ht="15.5">
      <c r="A84" s="9" t="s">
        <v>1006</v>
      </c>
      <c r="B84" s="10" t="s">
        <v>1007</v>
      </c>
      <c r="C84" s="11" t="s">
        <v>1008</v>
      </c>
      <c r="D84" s="12">
        <v>45141</v>
      </c>
      <c r="E84" s="12">
        <v>45141</v>
      </c>
      <c r="F84" s="12"/>
      <c r="G84" s="13" t="s">
        <v>794</v>
      </c>
      <c r="H84" s="14" t="s">
        <v>989</v>
      </c>
      <c r="I84" s="14" t="s">
        <v>83</v>
      </c>
      <c r="J84" s="15">
        <v>280</v>
      </c>
      <c r="L84" s="29" t="s">
        <v>998</v>
      </c>
      <c r="M84" s="29" t="s">
        <v>1043</v>
      </c>
      <c r="N84" s="30">
        <v>0</v>
      </c>
    </row>
    <row r="85" spans="1:14" ht="15.5">
      <c r="A85" s="9">
        <v>2600</v>
      </c>
      <c r="B85" s="10" t="s">
        <v>1009</v>
      </c>
      <c r="C85" s="11" t="s">
        <v>1010</v>
      </c>
      <c r="D85" s="12">
        <v>45792</v>
      </c>
      <c r="E85" s="12">
        <v>45792</v>
      </c>
      <c r="F85" s="12"/>
      <c r="G85" s="13" t="s">
        <v>794</v>
      </c>
      <c r="H85" s="14" t="s">
        <v>989</v>
      </c>
      <c r="I85" s="14" t="s">
        <v>83</v>
      </c>
      <c r="J85" s="15">
        <v>280</v>
      </c>
      <c r="L85" s="29" t="s">
        <v>1001</v>
      </c>
      <c r="M85" s="29" t="s">
        <v>1043</v>
      </c>
      <c r="N85" s="30">
        <v>0</v>
      </c>
    </row>
    <row r="86" spans="1:14" ht="15.5">
      <c r="A86" s="9" t="s">
        <v>1011</v>
      </c>
      <c r="B86" s="10" t="s">
        <v>1012</v>
      </c>
      <c r="C86" s="11" t="s">
        <v>1013</v>
      </c>
      <c r="D86" s="12">
        <v>43152</v>
      </c>
      <c r="E86" s="12">
        <v>44389</v>
      </c>
      <c r="F86" s="12">
        <v>43152</v>
      </c>
      <c r="G86" s="13" t="s">
        <v>794</v>
      </c>
      <c r="H86" s="14" t="s">
        <v>989</v>
      </c>
      <c r="I86" s="14" t="s">
        <v>279</v>
      </c>
      <c r="J86" s="15">
        <v>288.83</v>
      </c>
      <c r="L86" s="29" t="s">
        <v>1004</v>
      </c>
      <c r="M86" s="29" t="s">
        <v>1043</v>
      </c>
      <c r="N86" s="30">
        <v>0</v>
      </c>
    </row>
    <row r="87" spans="1:14" ht="15.5">
      <c r="A87" s="9" t="s">
        <v>1014</v>
      </c>
      <c r="B87" s="10" t="s">
        <v>1015</v>
      </c>
      <c r="C87" s="11" t="s">
        <v>1016</v>
      </c>
      <c r="D87" s="12">
        <v>45113</v>
      </c>
      <c r="E87" s="12">
        <v>45113</v>
      </c>
      <c r="F87" s="12"/>
      <c r="G87" s="13" t="s">
        <v>794</v>
      </c>
      <c r="H87" s="14" t="s">
        <v>989</v>
      </c>
      <c r="I87" s="14" t="s">
        <v>279</v>
      </c>
      <c r="J87" s="15">
        <v>288.83</v>
      </c>
      <c r="L87" s="29" t="s">
        <v>1044</v>
      </c>
      <c r="M87" s="29" t="s">
        <v>1043</v>
      </c>
      <c r="N87" s="30">
        <v>226</v>
      </c>
    </row>
    <row r="88" spans="1:14" ht="15.5">
      <c r="A88" s="9" t="s">
        <v>1017</v>
      </c>
      <c r="B88" s="10" t="s">
        <v>1018</v>
      </c>
      <c r="C88" s="11" t="s">
        <v>1019</v>
      </c>
      <c r="D88" s="12">
        <v>45540</v>
      </c>
      <c r="E88" s="12">
        <v>45540</v>
      </c>
      <c r="F88" s="12"/>
      <c r="G88" s="13" t="s">
        <v>794</v>
      </c>
      <c r="H88" s="14" t="s">
        <v>989</v>
      </c>
      <c r="I88" s="14" t="s">
        <v>279</v>
      </c>
      <c r="J88" s="15">
        <v>288.83</v>
      </c>
      <c r="L88" s="29" t="s">
        <v>1007</v>
      </c>
      <c r="M88" s="29" t="s">
        <v>1043</v>
      </c>
      <c r="N88" s="30">
        <v>198</v>
      </c>
    </row>
    <row r="89" spans="1:14" ht="15.5">
      <c r="A89" s="9" t="s">
        <v>1020</v>
      </c>
      <c r="B89" s="10" t="s">
        <v>1021</v>
      </c>
      <c r="C89" s="11" t="s">
        <v>1022</v>
      </c>
      <c r="D89" s="12">
        <v>42570</v>
      </c>
      <c r="E89" s="12">
        <v>44389</v>
      </c>
      <c r="F89" s="12">
        <v>42570</v>
      </c>
      <c r="G89" s="13" t="s">
        <v>794</v>
      </c>
      <c r="H89" s="14" t="s">
        <v>989</v>
      </c>
      <c r="I89" s="14" t="s">
        <v>279</v>
      </c>
      <c r="J89" s="15">
        <v>288.83</v>
      </c>
      <c r="L89" s="29" t="s">
        <v>1032</v>
      </c>
      <c r="M89" s="29" t="s">
        <v>1043</v>
      </c>
      <c r="N89" s="30">
        <v>311</v>
      </c>
    </row>
    <row r="90" spans="1:14" ht="15.5">
      <c r="A90" s="9" t="s">
        <v>1023</v>
      </c>
      <c r="B90" s="10" t="s">
        <v>1024</v>
      </c>
      <c r="C90" s="11" t="s">
        <v>1025</v>
      </c>
      <c r="D90" s="16">
        <v>44391</v>
      </c>
      <c r="E90" s="12">
        <v>44389</v>
      </c>
      <c r="F90" s="12"/>
      <c r="G90" s="13" t="s">
        <v>794</v>
      </c>
      <c r="H90" s="14" t="s">
        <v>989</v>
      </c>
      <c r="I90" s="14" t="s">
        <v>279</v>
      </c>
      <c r="J90" s="15">
        <v>288.83</v>
      </c>
      <c r="L90" s="29" t="s">
        <v>1035</v>
      </c>
      <c r="M90" s="29" t="s">
        <v>1043</v>
      </c>
      <c r="N90" s="30">
        <v>339</v>
      </c>
    </row>
    <row r="91" spans="1:14" ht="15.5">
      <c r="A91" s="9" t="s">
        <v>1026</v>
      </c>
      <c r="B91" s="10" t="s">
        <v>1027</v>
      </c>
      <c r="C91" s="11" t="s">
        <v>1028</v>
      </c>
      <c r="D91" s="12">
        <v>44966</v>
      </c>
      <c r="E91" s="12">
        <v>44966</v>
      </c>
      <c r="F91" s="12"/>
      <c r="G91" s="13" t="s">
        <v>794</v>
      </c>
      <c r="H91" s="14" t="s">
        <v>989</v>
      </c>
      <c r="I91" s="14" t="s">
        <v>279</v>
      </c>
      <c r="J91" s="15">
        <v>288.83</v>
      </c>
      <c r="L91" s="29" t="s">
        <v>1045</v>
      </c>
      <c r="M91" s="29" t="s">
        <v>1043</v>
      </c>
      <c r="N91" s="30">
        <v>0</v>
      </c>
    </row>
    <row r="92" spans="1:14" ht="15.5">
      <c r="A92" s="9">
        <v>2414</v>
      </c>
      <c r="B92" s="10" t="s">
        <v>1029</v>
      </c>
      <c r="C92" s="11" t="s">
        <v>1030</v>
      </c>
      <c r="D92" s="12">
        <v>45904</v>
      </c>
      <c r="E92" s="12">
        <v>45904</v>
      </c>
      <c r="F92" s="12"/>
      <c r="G92" s="13" t="s">
        <v>794</v>
      </c>
      <c r="H92" s="14" t="s">
        <v>989</v>
      </c>
      <c r="I92" s="14" t="s">
        <v>279</v>
      </c>
      <c r="J92" s="15">
        <v>288.83</v>
      </c>
      <c r="L92" s="61" t="s">
        <v>243</v>
      </c>
      <c r="M92" s="61">
        <f>SUBTOTAL(103,Tabla8[SECCIÓN])</f>
        <v>90</v>
      </c>
      <c r="N92" s="62">
        <f>SUBTOTAL(109,Tabla8[INCENTIVO])</f>
        <v>15213</v>
      </c>
    </row>
    <row r="93" spans="1:14" ht="15.5">
      <c r="A93" s="9" t="s">
        <v>1031</v>
      </c>
      <c r="B93" s="10" t="s">
        <v>1032</v>
      </c>
      <c r="C93" s="11" t="s">
        <v>1033</v>
      </c>
      <c r="D93" s="12">
        <v>45519</v>
      </c>
      <c r="E93" s="12">
        <v>45519</v>
      </c>
      <c r="F93" s="12"/>
      <c r="G93" s="13" t="s">
        <v>794</v>
      </c>
      <c r="H93" s="14" t="s">
        <v>989</v>
      </c>
      <c r="I93" s="14" t="s">
        <v>279</v>
      </c>
      <c r="J93" s="15">
        <v>288.83</v>
      </c>
    </row>
    <row r="94" spans="1:14" ht="15.5">
      <c r="A94" s="9" t="s">
        <v>1034</v>
      </c>
      <c r="B94" s="10" t="s">
        <v>1035</v>
      </c>
      <c r="C94" s="11" t="s">
        <v>1036</v>
      </c>
      <c r="D94" s="12">
        <v>41583</v>
      </c>
      <c r="E94" s="12">
        <v>44389</v>
      </c>
      <c r="F94" s="12">
        <v>41583</v>
      </c>
      <c r="G94" s="13" t="s">
        <v>794</v>
      </c>
      <c r="H94" s="14" t="s">
        <v>989</v>
      </c>
      <c r="I94" s="14" t="s">
        <v>279</v>
      </c>
      <c r="J94" s="15">
        <v>288.83</v>
      </c>
    </row>
    <row r="95" spans="1:14" ht="15.5">
      <c r="A95" s="27" t="s">
        <v>243</v>
      </c>
      <c r="B95" s="24"/>
      <c r="C95" s="28"/>
      <c r="D95" s="28"/>
      <c r="E95" s="28"/>
      <c r="F95" s="28"/>
      <c r="G95" s="25"/>
      <c r="H95" s="26"/>
      <c r="I95" s="26"/>
      <c r="J95" s="26">
        <f>SUBTOTAL(103,Tabla7[Salario Diario])</f>
        <v>93</v>
      </c>
    </row>
    <row r="102" spans="3:6">
      <c r="D102" s="3" t="s">
        <v>1046</v>
      </c>
      <c r="E102" s="64">
        <f>+C115</f>
        <v>1176209.17</v>
      </c>
    </row>
    <row r="103" spans="3:6">
      <c r="D103" s="3" t="s">
        <v>1047</v>
      </c>
      <c r="E103" s="65">
        <f>Tabla8[[#Totals],[INCENTIVO]]*4.33</f>
        <v>65872.290000000008</v>
      </c>
    </row>
    <row r="104" spans="3:6">
      <c r="D104" s="3" t="s">
        <v>1049</v>
      </c>
      <c r="E104" s="64">
        <f>+E103+E102</f>
        <v>1242081.46</v>
      </c>
    </row>
    <row r="107" spans="3:6">
      <c r="D107" s="63"/>
      <c r="E107" s="63"/>
    </row>
    <row r="108" spans="3:6">
      <c r="D108" s="3" t="s">
        <v>1056</v>
      </c>
      <c r="E108" s="89">
        <f>52/93</f>
        <v>0.55913978494623651</v>
      </c>
    </row>
    <row r="111" spans="3:6">
      <c r="C111" s="1" t="s">
        <v>1057</v>
      </c>
      <c r="D111" s="1"/>
      <c r="E111" s="1" t="s">
        <v>1055</v>
      </c>
      <c r="F111" s="1" t="s">
        <v>1063</v>
      </c>
    </row>
    <row r="112" spans="3:6">
      <c r="C112" s="67">
        <v>259542.95</v>
      </c>
      <c r="D112" s="1" t="s">
        <v>1054</v>
      </c>
      <c r="E112" s="1">
        <v>21</v>
      </c>
      <c r="F112" s="1">
        <v>855</v>
      </c>
    </row>
    <row r="113" spans="3:6">
      <c r="C113" s="67">
        <v>801948.19</v>
      </c>
      <c r="D113" s="1" t="s">
        <v>1052</v>
      </c>
      <c r="E113" s="1">
        <v>63</v>
      </c>
      <c r="F113" s="1" t="s">
        <v>1064</v>
      </c>
    </row>
    <row r="114" spans="3:6">
      <c r="C114" s="68">
        <v>114718.03</v>
      </c>
      <c r="D114" s="1" t="s">
        <v>1053</v>
      </c>
      <c r="E114" s="69">
        <v>9</v>
      </c>
      <c r="F114" s="6">
        <f>F112/E115</f>
        <v>9.193548387096774</v>
      </c>
    </row>
    <row r="115" spans="3:6">
      <c r="C115" s="67">
        <f>SUM(C112:C114)</f>
        <v>1176209.17</v>
      </c>
      <c r="D115" s="1"/>
      <c r="E115" s="1">
        <f>SUM(E112:E114)</f>
        <v>93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3EF2-0FC4-483B-8E57-770671427267}">
  <dimension ref="B2:L19"/>
  <sheetViews>
    <sheetView workbookViewId="0">
      <selection activeCell="H19" sqref="H19"/>
    </sheetView>
  </sheetViews>
  <sheetFormatPr baseColWidth="10" defaultRowHeight="14.5"/>
  <cols>
    <col min="1" max="1" width="11.6328125" customWidth="1"/>
    <col min="2" max="2" width="25.08984375" customWidth="1"/>
    <col min="3" max="3" width="26.36328125" customWidth="1"/>
    <col min="4" max="4" width="17.08984375" bestFit="1" customWidth="1"/>
    <col min="5" max="5" width="2.26953125" customWidth="1"/>
    <col min="6" max="6" width="23.36328125" bestFit="1" customWidth="1"/>
    <col min="7" max="7" width="2.36328125" customWidth="1"/>
    <col min="8" max="8" width="17.6328125" bestFit="1" customWidth="1"/>
    <col min="9" max="9" width="24.453125" bestFit="1" customWidth="1"/>
    <col min="12" max="12" width="26.26953125" bestFit="1" customWidth="1"/>
  </cols>
  <sheetData>
    <row r="2" spans="2:12">
      <c r="B2" t="s">
        <v>1061</v>
      </c>
    </row>
    <row r="5" spans="2:12">
      <c r="C5" s="3" t="s">
        <v>1046</v>
      </c>
      <c r="D5" s="64">
        <f>+F18</f>
        <v>4314966.3566666665</v>
      </c>
    </row>
    <row r="6" spans="2:12">
      <c r="C6" s="3" t="s">
        <v>1047</v>
      </c>
      <c r="D6" s="65">
        <f>(Corte!I67+Sacos!$G$198+Pantalón!E103)</f>
        <v>294258.14</v>
      </c>
    </row>
    <row r="7" spans="2:12">
      <c r="C7" s="3" t="s">
        <v>1049</v>
      </c>
      <c r="D7" s="64">
        <f>+D6+D5</f>
        <v>4609224.4966666661</v>
      </c>
    </row>
    <row r="10" spans="2:12">
      <c r="C10" s="63"/>
      <c r="D10" s="63"/>
    </row>
    <row r="11" spans="2:12">
      <c r="C11" s="3" t="s">
        <v>1059</v>
      </c>
      <c r="D11" s="66">
        <f>(126+52+55)/326</f>
        <v>0.71472392638036808</v>
      </c>
    </row>
    <row r="14" spans="2:12">
      <c r="B14" s="1"/>
      <c r="D14" s="1" t="s">
        <v>1055</v>
      </c>
      <c r="F14" t="s">
        <v>1062</v>
      </c>
      <c r="H14" s="1" t="s">
        <v>1060</v>
      </c>
      <c r="I14" s="1" t="s">
        <v>1063</v>
      </c>
    </row>
    <row r="15" spans="2:12" ht="22.5">
      <c r="B15" s="70"/>
      <c r="C15" s="3" t="s">
        <v>1054</v>
      </c>
      <c r="D15" s="1">
        <f>Corte!H74+Sacos!$G$207+Pantalón!E112</f>
        <v>111</v>
      </c>
      <c r="F15" s="8">
        <f>H15/12</f>
        <v>1440449.7816666665</v>
      </c>
      <c r="G15" s="8"/>
      <c r="H15" s="8">
        <v>17285397.379999999</v>
      </c>
      <c r="I15" s="1">
        <v>855</v>
      </c>
      <c r="L15" s="72"/>
    </row>
    <row r="16" spans="2:12" ht="22.5">
      <c r="B16" s="70"/>
      <c r="C16" s="3" t="s">
        <v>1052</v>
      </c>
      <c r="D16" s="1">
        <f>Sacos!$G$208+Pantalón!E113</f>
        <v>177</v>
      </c>
      <c r="F16" s="8">
        <f t="shared" ref="F16:F17" si="0">H16/12</f>
        <v>2365899.0616666665</v>
      </c>
      <c r="G16" s="8"/>
      <c r="H16" s="8">
        <v>28390788.739999998</v>
      </c>
      <c r="I16" t="s">
        <v>1064</v>
      </c>
      <c r="L16" s="73"/>
    </row>
    <row r="17" spans="2:12" ht="22.5">
      <c r="B17" s="70"/>
      <c r="C17" s="3" t="s">
        <v>1053</v>
      </c>
      <c r="D17" s="69">
        <f>Sacos!$G$209+Pantalón!E114</f>
        <v>38</v>
      </c>
      <c r="F17" s="8">
        <f>H17/12</f>
        <v>508617.51333333337</v>
      </c>
      <c r="G17" s="8"/>
      <c r="H17" s="8">
        <v>6103410.1600000001</v>
      </c>
      <c r="I17" s="6">
        <f>I15/(D18-62)</f>
        <v>3.2386363636363638</v>
      </c>
      <c r="L17" s="72"/>
    </row>
    <row r="18" spans="2:12">
      <c r="B18" s="71"/>
      <c r="D18" s="1">
        <f>SUM(D15:D17)</f>
        <v>326</v>
      </c>
      <c r="F18" s="8">
        <f>SUM(F15:F17)</f>
        <v>4314966.3566666665</v>
      </c>
      <c r="G18" s="8"/>
      <c r="H18" s="8">
        <f>SUM(H15:H17)</f>
        <v>51779596.280000001</v>
      </c>
      <c r="I18" s="8"/>
      <c r="L18" s="8"/>
    </row>
    <row r="19" spans="2:12">
      <c r="D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B34F-6D43-49B9-B035-BD136BE56DD0}">
  <dimension ref="D3:M76"/>
  <sheetViews>
    <sheetView topLeftCell="A47" zoomScaleNormal="100" workbookViewId="0">
      <selection activeCell="I73" sqref="I73"/>
    </sheetView>
  </sheetViews>
  <sheetFormatPr baseColWidth="10" defaultRowHeight="14.5"/>
  <cols>
    <col min="1" max="3" width="10.90625" style="1"/>
    <col min="4" max="4" width="46.1796875" style="1" customWidth="1"/>
    <col min="5" max="5" width="27.1796875" style="1" bestFit="1" customWidth="1"/>
    <col min="6" max="6" width="14.7265625" style="67" bestFit="1" customWidth="1"/>
    <col min="7" max="8" width="13.7265625" style="67" bestFit="1" customWidth="1"/>
    <col min="9" max="9" width="13.7265625" style="1" bestFit="1" customWidth="1"/>
    <col min="10" max="10" width="12.26953125" style="67" bestFit="1" customWidth="1"/>
    <col min="11" max="16384" width="10.90625" style="1"/>
  </cols>
  <sheetData>
    <row r="3" spans="4:9" s="67" customFormat="1" ht="35.25" customHeight="1">
      <c r="D3" s="75" t="s">
        <v>1065</v>
      </c>
      <c r="E3" s="75" t="s">
        <v>1066</v>
      </c>
      <c r="F3" s="76" t="s">
        <v>1067</v>
      </c>
      <c r="G3" s="76" t="s">
        <v>1068</v>
      </c>
      <c r="H3" s="76" t="s">
        <v>1069</v>
      </c>
      <c r="I3" s="75" t="s">
        <v>1070</v>
      </c>
    </row>
    <row r="4" spans="4:9" s="67" customFormat="1">
      <c r="D4" s="78" t="s">
        <v>1071</v>
      </c>
      <c r="E4" s="78" t="s">
        <v>1072</v>
      </c>
      <c r="F4" s="79">
        <v>8539.2000000000007</v>
      </c>
      <c r="G4" s="79">
        <v>1997.8</v>
      </c>
      <c r="H4" s="79"/>
      <c r="I4" s="80">
        <f>+F4+G4+H4</f>
        <v>10537</v>
      </c>
    </row>
    <row r="5" spans="4:9" s="67" customFormat="1">
      <c r="D5" s="81" t="s">
        <v>1073</v>
      </c>
      <c r="E5" s="81" t="s">
        <v>1072</v>
      </c>
      <c r="F5" s="82">
        <v>3834.8</v>
      </c>
      <c r="G5" s="82">
        <v>1662.63</v>
      </c>
      <c r="H5" s="82"/>
      <c r="I5" s="83">
        <f t="shared" ref="I5:I19" si="0">+F5+G5+H5</f>
        <v>5497.43</v>
      </c>
    </row>
    <row r="6" spans="4:9" s="67" customFormat="1">
      <c r="D6" s="81" t="s">
        <v>1074</v>
      </c>
      <c r="E6" s="81" t="s">
        <v>1072</v>
      </c>
      <c r="F6" s="82">
        <v>2150.1999999999998</v>
      </c>
      <c r="G6" s="82">
        <v>849.7</v>
      </c>
      <c r="H6" s="82"/>
      <c r="I6" s="83">
        <f t="shared" si="0"/>
        <v>2999.8999999999996</v>
      </c>
    </row>
    <row r="7" spans="4:9" s="67" customFormat="1">
      <c r="D7" s="81" t="s">
        <v>1075</v>
      </c>
      <c r="E7" s="81" t="s">
        <v>1072</v>
      </c>
      <c r="F7" s="82">
        <v>2159.1999999999998</v>
      </c>
      <c r="G7" s="82">
        <v>192.87</v>
      </c>
      <c r="H7" s="82"/>
      <c r="I7" s="83">
        <f t="shared" si="0"/>
        <v>2352.0699999999997</v>
      </c>
    </row>
    <row r="8" spans="4:9" s="67" customFormat="1">
      <c r="D8" s="81" t="s">
        <v>1076</v>
      </c>
      <c r="E8" s="81" t="s">
        <v>1072</v>
      </c>
      <c r="F8" s="82">
        <v>5240.8</v>
      </c>
      <c r="G8" s="82">
        <v>1674.11</v>
      </c>
      <c r="H8" s="82"/>
      <c r="I8" s="83">
        <f t="shared" si="0"/>
        <v>6914.91</v>
      </c>
    </row>
    <row r="9" spans="4:9" s="67" customFormat="1">
      <c r="D9" s="81" t="s">
        <v>1077</v>
      </c>
      <c r="E9" s="81" t="s">
        <v>1072</v>
      </c>
      <c r="F9" s="82">
        <v>2348</v>
      </c>
      <c r="G9" s="82">
        <v>577.72</v>
      </c>
      <c r="H9" s="82"/>
      <c r="I9" s="83">
        <f t="shared" si="0"/>
        <v>2925.7200000000003</v>
      </c>
    </row>
    <row r="10" spans="4:9" s="67" customFormat="1">
      <c r="D10" s="78" t="s">
        <v>1078</v>
      </c>
      <c r="E10" s="78" t="s">
        <v>1072</v>
      </c>
      <c r="F10" s="79">
        <v>2229.1999999999998</v>
      </c>
      <c r="G10" s="79"/>
      <c r="H10" s="79"/>
      <c r="I10" s="80">
        <f t="shared" si="0"/>
        <v>2229.1999999999998</v>
      </c>
    </row>
    <row r="11" spans="4:9" s="67" customFormat="1">
      <c r="D11" s="81" t="s">
        <v>1079</v>
      </c>
      <c r="E11" s="81" t="s">
        <v>1072</v>
      </c>
      <c r="F11" s="84">
        <f>2375.8+1458.89</f>
        <v>3834.6900000000005</v>
      </c>
      <c r="G11" s="84">
        <v>10023.15</v>
      </c>
      <c r="H11" s="84"/>
      <c r="I11" s="83">
        <f t="shared" si="0"/>
        <v>13857.84</v>
      </c>
    </row>
    <row r="12" spans="4:9" s="67" customFormat="1">
      <c r="D12" s="78" t="s">
        <v>1080</v>
      </c>
      <c r="E12" s="78" t="s">
        <v>1072</v>
      </c>
      <c r="F12" s="79">
        <v>2556.6</v>
      </c>
      <c r="G12" s="79">
        <v>495.37</v>
      </c>
      <c r="H12" s="79"/>
      <c r="I12" s="80">
        <f t="shared" si="0"/>
        <v>3051.97</v>
      </c>
    </row>
    <row r="13" spans="4:9" s="67" customFormat="1">
      <c r="D13" s="78" t="s">
        <v>1081</v>
      </c>
      <c r="E13" s="78" t="s">
        <v>1072</v>
      </c>
      <c r="F13" s="79"/>
      <c r="G13" s="79"/>
      <c r="H13" s="79"/>
      <c r="I13" s="80">
        <f t="shared" si="0"/>
        <v>0</v>
      </c>
    </row>
    <row r="14" spans="4:9" s="67" customFormat="1">
      <c r="D14" s="81" t="s">
        <v>1082</v>
      </c>
      <c r="E14" s="81" t="s">
        <v>1072</v>
      </c>
      <c r="F14" s="82">
        <v>2199</v>
      </c>
      <c r="G14" s="82">
        <v>544.07000000000005</v>
      </c>
      <c r="H14" s="82"/>
      <c r="I14" s="83">
        <f t="shared" si="0"/>
        <v>2743.07</v>
      </c>
    </row>
    <row r="15" spans="4:9" s="67" customFormat="1">
      <c r="D15" s="81" t="s">
        <v>1083</v>
      </c>
      <c r="E15" s="81" t="s">
        <v>1072</v>
      </c>
      <c r="F15" s="82">
        <v>2149.1999999999998</v>
      </c>
      <c r="G15" s="82">
        <v>203.63</v>
      </c>
      <c r="H15" s="82"/>
      <c r="I15" s="83">
        <f t="shared" si="0"/>
        <v>2352.83</v>
      </c>
    </row>
    <row r="16" spans="4:9" s="67" customFormat="1">
      <c r="D16" s="81" t="s">
        <v>1084</v>
      </c>
      <c r="E16" s="81" t="s">
        <v>1072</v>
      </c>
      <c r="F16" s="82">
        <v>2150.8000000000002</v>
      </c>
      <c r="G16" s="82">
        <v>729.34</v>
      </c>
      <c r="H16" s="82"/>
      <c r="I16" s="83">
        <f t="shared" si="0"/>
        <v>2880.1400000000003</v>
      </c>
    </row>
    <row r="17" spans="4:9" s="67" customFormat="1">
      <c r="D17" s="81" t="s">
        <v>1085</v>
      </c>
      <c r="E17" s="81" t="s">
        <v>1072</v>
      </c>
      <c r="F17" s="82">
        <v>6127.6</v>
      </c>
      <c r="G17" s="82">
        <v>5636.03</v>
      </c>
      <c r="H17" s="82"/>
      <c r="I17" s="83">
        <f t="shared" si="0"/>
        <v>11763.630000000001</v>
      </c>
    </row>
    <row r="18" spans="4:9" s="67" customFormat="1">
      <c r="D18" s="81" t="s">
        <v>1086</v>
      </c>
      <c r="E18" s="81" t="s">
        <v>1072</v>
      </c>
      <c r="F18" s="82">
        <v>2753.4</v>
      </c>
      <c r="G18" s="82">
        <v>908.14</v>
      </c>
      <c r="H18" s="82"/>
      <c r="I18" s="83">
        <f t="shared" si="0"/>
        <v>3661.54</v>
      </c>
    </row>
    <row r="19" spans="4:9" s="67" customFormat="1">
      <c r="D19" s="81" t="s">
        <v>1087</v>
      </c>
      <c r="E19" s="81" t="s">
        <v>1072</v>
      </c>
      <c r="F19" s="82">
        <f>4986.2+1150.26</f>
        <v>6136.46</v>
      </c>
      <c r="G19" s="82">
        <v>5984.43</v>
      </c>
      <c r="H19" s="82"/>
      <c r="I19" s="83">
        <f t="shared" si="0"/>
        <v>12120.89</v>
      </c>
    </row>
    <row r="20" spans="4:9" s="67" customFormat="1">
      <c r="D20" s="1"/>
      <c r="E20" s="1"/>
      <c r="F20" s="70">
        <f>SUM(F4:F19)</f>
        <v>54409.15</v>
      </c>
      <c r="G20" s="70">
        <f>SUM(G4:G19)</f>
        <v>31478.989999999998</v>
      </c>
      <c r="H20" s="70"/>
      <c r="I20" s="85">
        <f>SUM(I4:I19)</f>
        <v>85888.14</v>
      </c>
    </row>
    <row r="21" spans="4:9" s="67" customFormat="1">
      <c r="D21" s="1"/>
      <c r="E21" s="1"/>
      <c r="F21" s="70"/>
      <c r="G21" s="70"/>
      <c r="H21" s="70"/>
      <c r="I21" s="71"/>
    </row>
    <row r="22" spans="4:9" s="67" customFormat="1">
      <c r="D22" s="81" t="s">
        <v>1088</v>
      </c>
      <c r="E22" s="81" t="s">
        <v>1089</v>
      </c>
      <c r="F22" s="84">
        <v>2436.6</v>
      </c>
      <c r="G22" s="84">
        <v>751.57</v>
      </c>
      <c r="H22" s="84"/>
      <c r="I22" s="83">
        <f t="shared" ref="I22:I33" si="1">+F22+G22+H22</f>
        <v>3188.17</v>
      </c>
    </row>
    <row r="23" spans="4:9" s="67" customFormat="1">
      <c r="D23" s="81" t="s">
        <v>1090</v>
      </c>
      <c r="E23" s="81" t="s">
        <v>1089</v>
      </c>
      <c r="F23" s="84">
        <v>2533.1999999999998</v>
      </c>
      <c r="G23" s="84">
        <v>1183.42</v>
      </c>
      <c r="H23" s="84"/>
      <c r="I23" s="83">
        <f t="shared" si="1"/>
        <v>3716.62</v>
      </c>
    </row>
    <row r="24" spans="4:9" s="67" customFormat="1">
      <c r="D24" s="81" t="s">
        <v>1091</v>
      </c>
      <c r="E24" s="81" t="s">
        <v>1089</v>
      </c>
      <c r="F24" s="84">
        <v>2156.6</v>
      </c>
      <c r="G24" s="84">
        <v>511.11</v>
      </c>
      <c r="H24" s="84"/>
      <c r="I24" s="83">
        <f t="shared" si="1"/>
        <v>2667.71</v>
      </c>
    </row>
    <row r="25" spans="4:9" s="67" customFormat="1">
      <c r="D25" s="81" t="s">
        <v>1092</v>
      </c>
      <c r="E25" s="81" t="s">
        <v>1089</v>
      </c>
      <c r="F25" s="84">
        <v>2339</v>
      </c>
      <c r="G25" s="84">
        <v>241.85</v>
      </c>
      <c r="H25" s="84"/>
      <c r="I25" s="83">
        <f t="shared" si="1"/>
        <v>2580.85</v>
      </c>
    </row>
    <row r="26" spans="4:9" s="67" customFormat="1">
      <c r="D26" s="81" t="s">
        <v>1093</v>
      </c>
      <c r="E26" s="81" t="s">
        <v>1089</v>
      </c>
      <c r="F26" s="84">
        <v>2436.6</v>
      </c>
      <c r="G26" s="84">
        <v>788.23</v>
      </c>
      <c r="H26" s="84"/>
      <c r="I26" s="83">
        <f t="shared" si="1"/>
        <v>3224.83</v>
      </c>
    </row>
    <row r="27" spans="4:9" s="67" customFormat="1">
      <c r="D27" s="81" t="s">
        <v>1094</v>
      </c>
      <c r="E27" s="81" t="s">
        <v>1089</v>
      </c>
      <c r="F27" s="84">
        <v>2283</v>
      </c>
      <c r="G27" s="84">
        <v>624.23</v>
      </c>
      <c r="H27" s="84"/>
      <c r="I27" s="83">
        <f t="shared" si="1"/>
        <v>2907.23</v>
      </c>
    </row>
    <row r="28" spans="4:9" s="67" customFormat="1">
      <c r="D28" s="81" t="s">
        <v>1095</v>
      </c>
      <c r="E28" s="81" t="s">
        <v>1089</v>
      </c>
      <c r="F28" s="84">
        <v>2114.8000000000002</v>
      </c>
      <c r="G28" s="84">
        <v>172.46</v>
      </c>
      <c r="H28" s="84"/>
      <c r="I28" s="83">
        <f t="shared" si="1"/>
        <v>2287.2600000000002</v>
      </c>
    </row>
    <row r="29" spans="4:9" s="67" customFormat="1">
      <c r="D29" s="81" t="s">
        <v>1096</v>
      </c>
      <c r="E29" s="81" t="s">
        <v>1089</v>
      </c>
      <c r="F29" s="84">
        <v>2156.6</v>
      </c>
      <c r="G29" s="84">
        <v>1161.1300000000001</v>
      </c>
      <c r="H29" s="84"/>
      <c r="I29" s="83">
        <f t="shared" si="1"/>
        <v>3317.73</v>
      </c>
    </row>
    <row r="30" spans="4:9" s="67" customFormat="1">
      <c r="D30" s="81" t="s">
        <v>1097</v>
      </c>
      <c r="E30" s="81" t="s">
        <v>1089</v>
      </c>
      <c r="F30" s="84">
        <v>4932.2</v>
      </c>
      <c r="G30" s="84">
        <v>1310.67</v>
      </c>
      <c r="H30" s="84"/>
      <c r="I30" s="83">
        <f t="shared" si="1"/>
        <v>6242.87</v>
      </c>
    </row>
    <row r="31" spans="4:9" s="67" customFormat="1">
      <c r="D31" s="81" t="s">
        <v>1098</v>
      </c>
      <c r="E31" s="81" t="s">
        <v>1089</v>
      </c>
      <c r="F31" s="84">
        <v>2156.1999999999998</v>
      </c>
      <c r="G31" s="84">
        <v>268.99</v>
      </c>
      <c r="H31" s="84"/>
      <c r="I31" s="83">
        <f t="shared" si="1"/>
        <v>2425.1899999999996</v>
      </c>
    </row>
    <row r="32" spans="4:9" s="67" customFormat="1">
      <c r="D32" s="81" t="s">
        <v>1099</v>
      </c>
      <c r="E32" s="81" t="s">
        <v>1089</v>
      </c>
      <c r="F32" s="84">
        <v>2233.1999999999998</v>
      </c>
      <c r="G32" s="84">
        <v>244.22</v>
      </c>
      <c r="H32" s="84"/>
      <c r="I32" s="83">
        <f t="shared" si="1"/>
        <v>2477.4199999999996</v>
      </c>
    </row>
    <row r="33" spans="4:9" s="67" customFormat="1">
      <c r="D33" s="81" t="s">
        <v>1100</v>
      </c>
      <c r="E33" s="81" t="s">
        <v>1089</v>
      </c>
      <c r="F33" s="84">
        <v>4401.6000000000004</v>
      </c>
      <c r="G33" s="84">
        <v>1104.8399999999999</v>
      </c>
      <c r="H33" s="84"/>
      <c r="I33" s="83">
        <f t="shared" si="1"/>
        <v>5506.4400000000005</v>
      </c>
    </row>
    <row r="34" spans="4:9" s="67" customFormat="1">
      <c r="D34" s="1"/>
      <c r="E34" s="1"/>
      <c r="F34" s="86">
        <f>SUM(F22:F33)</f>
        <v>32179.599999999999</v>
      </c>
      <c r="G34" s="86">
        <f>SUM(G22:G33)</f>
        <v>8362.7199999999993</v>
      </c>
      <c r="H34" s="86"/>
      <c r="I34" s="85">
        <f>SUM(I22:I33)</f>
        <v>40542.32</v>
      </c>
    </row>
    <row r="35" spans="4:9" s="67" customFormat="1">
      <c r="D35" s="1"/>
      <c r="E35" s="1"/>
      <c r="F35" s="70"/>
      <c r="G35" s="70"/>
      <c r="H35" s="70"/>
      <c r="I35" s="71"/>
    </row>
    <row r="36" spans="4:9" s="67" customFormat="1">
      <c r="D36" s="81" t="s">
        <v>1101</v>
      </c>
      <c r="E36" s="81" t="s">
        <v>1102</v>
      </c>
      <c r="F36" s="82">
        <v>2787.2</v>
      </c>
      <c r="G36" s="82">
        <v>677.86</v>
      </c>
      <c r="H36" s="82"/>
      <c r="I36" s="83">
        <f t="shared" ref="I36:I44" si="2">+F36+G36+H36</f>
        <v>3465.06</v>
      </c>
    </row>
    <row r="37" spans="4:9" s="67" customFormat="1">
      <c r="D37" s="81" t="s">
        <v>1103</v>
      </c>
      <c r="E37" s="81" t="s">
        <v>1102</v>
      </c>
      <c r="F37" s="82">
        <v>2371.6</v>
      </c>
      <c r="G37" s="82">
        <f>299.75-99.9</f>
        <v>199.85</v>
      </c>
      <c r="H37" s="82"/>
      <c r="I37" s="83">
        <f t="shared" si="2"/>
        <v>2571.4499999999998</v>
      </c>
    </row>
    <row r="38" spans="4:9" s="67" customFormat="1">
      <c r="D38" s="81" t="s">
        <v>1104</v>
      </c>
      <c r="E38" s="81" t="s">
        <v>1102</v>
      </c>
      <c r="F38" s="82">
        <v>2348.8000000000002</v>
      </c>
      <c r="G38" s="82">
        <f>322.56-123.44</f>
        <v>199.12</v>
      </c>
      <c r="H38" s="82"/>
      <c r="I38" s="83">
        <f t="shared" si="2"/>
        <v>2547.92</v>
      </c>
    </row>
    <row r="39" spans="4:9" s="67" customFormat="1">
      <c r="D39" s="81" t="s">
        <v>1105</v>
      </c>
      <c r="E39" s="81" t="s">
        <v>1102</v>
      </c>
      <c r="F39" s="82"/>
      <c r="G39" s="82"/>
      <c r="H39" s="82"/>
      <c r="I39" s="83">
        <f t="shared" si="2"/>
        <v>0</v>
      </c>
    </row>
    <row r="40" spans="4:9" s="67" customFormat="1">
      <c r="D40" s="81" t="s">
        <v>1106</v>
      </c>
      <c r="E40" s="81" t="s">
        <v>1102</v>
      </c>
      <c r="F40" s="82">
        <v>2347</v>
      </c>
      <c r="G40" s="82">
        <f>425.17-123.42</f>
        <v>301.75</v>
      </c>
      <c r="H40" s="82"/>
      <c r="I40" s="83">
        <f t="shared" si="2"/>
        <v>2648.75</v>
      </c>
    </row>
    <row r="41" spans="4:9" s="67" customFormat="1">
      <c r="D41" s="81" t="s">
        <v>1107</v>
      </c>
      <c r="E41" s="81" t="s">
        <v>1102</v>
      </c>
      <c r="F41" s="82">
        <v>2348.4</v>
      </c>
      <c r="G41" s="82">
        <f>323.03-123.49</f>
        <v>199.53999999999996</v>
      </c>
      <c r="H41" s="82"/>
      <c r="I41" s="83">
        <f t="shared" si="2"/>
        <v>2547.94</v>
      </c>
    </row>
    <row r="42" spans="4:9" s="67" customFormat="1">
      <c r="D42" s="81" t="s">
        <v>1108</v>
      </c>
      <c r="E42" s="81" t="s">
        <v>1102</v>
      </c>
      <c r="F42" s="82">
        <v>2151</v>
      </c>
      <c r="G42" s="82">
        <v>358.55</v>
      </c>
      <c r="H42" s="82"/>
      <c r="I42" s="83">
        <f t="shared" si="2"/>
        <v>2509.5500000000002</v>
      </c>
    </row>
    <row r="43" spans="4:9" s="67" customFormat="1">
      <c r="D43" s="81" t="s">
        <v>1109</v>
      </c>
      <c r="E43" s="81" t="s">
        <v>1102</v>
      </c>
      <c r="F43" s="82">
        <v>2804.2</v>
      </c>
      <c r="G43" s="82">
        <v>195.81</v>
      </c>
      <c r="H43" s="82"/>
      <c r="I43" s="83">
        <f t="shared" si="2"/>
        <v>3000.0099999999998</v>
      </c>
    </row>
    <row r="44" spans="4:9" s="67" customFormat="1">
      <c r="D44" s="81" t="s">
        <v>1110</v>
      </c>
      <c r="E44" s="81" t="s">
        <v>1102</v>
      </c>
      <c r="F44" s="82">
        <v>2358.8000000000002</v>
      </c>
      <c r="G44" s="82">
        <v>312.14999999999998</v>
      </c>
      <c r="H44" s="82"/>
      <c r="I44" s="83">
        <f t="shared" si="2"/>
        <v>2670.9500000000003</v>
      </c>
    </row>
    <row r="45" spans="4:9" s="67" customFormat="1">
      <c r="D45" s="1"/>
      <c r="E45" s="1"/>
      <c r="F45" s="70">
        <f>SUM(F36:F44)</f>
        <v>19516.999999999996</v>
      </c>
      <c r="G45" s="70">
        <f>SUM(G36:G44)</f>
        <v>2444.63</v>
      </c>
      <c r="H45" s="70"/>
      <c r="I45" s="85">
        <f>SUM(I36:I44)</f>
        <v>21961.63</v>
      </c>
    </row>
    <row r="46" spans="4:9" s="67" customFormat="1">
      <c r="D46" s="1"/>
      <c r="E46" s="1"/>
      <c r="I46" s="71"/>
    </row>
    <row r="47" spans="4:9" s="67" customFormat="1">
      <c r="D47" s="81" t="s">
        <v>1042</v>
      </c>
      <c r="E47" s="81" t="s">
        <v>1111</v>
      </c>
      <c r="F47" s="84">
        <v>2216.6</v>
      </c>
      <c r="G47" s="84"/>
      <c r="H47" s="84">
        <v>509</v>
      </c>
      <c r="I47" s="83">
        <f t="shared" ref="I47:I57" si="3">+F47+G47+H47</f>
        <v>2725.6</v>
      </c>
    </row>
    <row r="48" spans="4:9" s="67" customFormat="1">
      <c r="D48" s="81" t="s">
        <v>1112</v>
      </c>
      <c r="E48" s="81" t="s">
        <v>1111</v>
      </c>
      <c r="F48" s="84">
        <v>2240.6</v>
      </c>
      <c r="G48" s="84">
        <v>549.44000000000005</v>
      </c>
      <c r="H48" s="84"/>
      <c r="I48" s="83">
        <f t="shared" si="3"/>
        <v>2790.04</v>
      </c>
    </row>
    <row r="49" spans="4:13">
      <c r="D49" s="81" t="s">
        <v>1113</v>
      </c>
      <c r="E49" s="81" t="s">
        <v>1111</v>
      </c>
      <c r="F49" s="84">
        <v>2346</v>
      </c>
      <c r="G49" s="84">
        <v>630.77</v>
      </c>
      <c r="H49" s="84"/>
      <c r="I49" s="83">
        <f t="shared" si="3"/>
        <v>2976.77</v>
      </c>
    </row>
    <row r="50" spans="4:13">
      <c r="D50" s="81" t="s">
        <v>1114</v>
      </c>
      <c r="E50" s="81" t="s">
        <v>1111</v>
      </c>
      <c r="F50" s="84">
        <v>2512.6</v>
      </c>
      <c r="G50" s="84">
        <v>587.42999999999995</v>
      </c>
      <c r="H50" s="84"/>
      <c r="I50" s="83">
        <f t="shared" si="3"/>
        <v>3100.0299999999997</v>
      </c>
    </row>
    <row r="51" spans="4:13">
      <c r="D51" s="81" t="s">
        <v>1115</v>
      </c>
      <c r="E51" s="81" t="s">
        <v>1111</v>
      </c>
      <c r="F51" s="84">
        <v>2436.6</v>
      </c>
      <c r="G51" s="84">
        <f>663.5-123.4</f>
        <v>540.1</v>
      </c>
      <c r="H51" s="84"/>
      <c r="I51" s="83">
        <f t="shared" si="3"/>
        <v>2976.7</v>
      </c>
    </row>
    <row r="52" spans="4:13">
      <c r="D52" s="81" t="s">
        <v>1116</v>
      </c>
      <c r="E52" s="81" t="s">
        <v>1111</v>
      </c>
      <c r="F52" s="84">
        <v>2151.6</v>
      </c>
      <c r="G52" s="84">
        <v>848.3</v>
      </c>
      <c r="H52" s="84"/>
      <c r="I52" s="83">
        <f t="shared" si="3"/>
        <v>2999.8999999999996</v>
      </c>
    </row>
    <row r="53" spans="4:13">
      <c r="D53" s="81" t="s">
        <v>1117</v>
      </c>
      <c r="E53" s="81" t="s">
        <v>1111</v>
      </c>
      <c r="F53" s="84">
        <v>2436.8000000000002</v>
      </c>
      <c r="G53" s="84">
        <f>763.31-123.4</f>
        <v>639.91</v>
      </c>
      <c r="H53" s="84"/>
      <c r="I53" s="83">
        <f t="shared" si="3"/>
        <v>3076.71</v>
      </c>
    </row>
    <row r="54" spans="4:13">
      <c r="D54" s="81" t="s">
        <v>1118</v>
      </c>
      <c r="E54" s="81" t="s">
        <v>1111</v>
      </c>
      <c r="F54" s="84">
        <v>2158.8000000000002</v>
      </c>
      <c r="G54" s="84">
        <v>841.33</v>
      </c>
      <c r="H54" s="84"/>
      <c r="I54" s="83">
        <f t="shared" si="3"/>
        <v>3000.13</v>
      </c>
    </row>
    <row r="55" spans="4:13">
      <c r="D55" s="81" t="s">
        <v>1119</v>
      </c>
      <c r="E55" s="81" t="s">
        <v>1111</v>
      </c>
      <c r="F55" s="84">
        <v>2241.6</v>
      </c>
      <c r="G55" s="84">
        <v>758.46</v>
      </c>
      <c r="H55" s="84"/>
      <c r="I55" s="83">
        <f t="shared" si="3"/>
        <v>3000.06</v>
      </c>
    </row>
    <row r="56" spans="4:13">
      <c r="D56" s="81" t="s">
        <v>1120</v>
      </c>
      <c r="E56" s="81" t="s">
        <v>1111</v>
      </c>
      <c r="F56" s="84">
        <v>2150.8000000000002</v>
      </c>
      <c r="G56" s="84">
        <v>280.36</v>
      </c>
      <c r="H56" s="84"/>
      <c r="I56" s="83">
        <f t="shared" si="3"/>
        <v>2431.1600000000003</v>
      </c>
    </row>
    <row r="57" spans="4:13">
      <c r="D57" s="81" t="s">
        <v>1121</v>
      </c>
      <c r="E57" s="81" t="s">
        <v>1111</v>
      </c>
      <c r="F57" s="84">
        <v>2436.6</v>
      </c>
      <c r="G57" s="84">
        <f>663.31-123.6</f>
        <v>539.70999999999992</v>
      </c>
      <c r="H57" s="84"/>
      <c r="I57" s="83">
        <f t="shared" si="3"/>
        <v>2976.31</v>
      </c>
    </row>
    <row r="58" spans="4:13">
      <c r="F58" s="67">
        <f>SUM(F47:F57)</f>
        <v>25328.599999999995</v>
      </c>
      <c r="G58" s="67">
        <f>SUM(G47:G57)</f>
        <v>6215.8099999999995</v>
      </c>
      <c r="I58" s="85">
        <f>SUM(I47:I57)</f>
        <v>32053.410000000003</v>
      </c>
    </row>
    <row r="59" spans="4:13">
      <c r="I59" s="71"/>
    </row>
    <row r="60" spans="4:13">
      <c r="I60" s="71"/>
    </row>
    <row r="61" spans="4:13">
      <c r="D61" s="81" t="s">
        <v>1122</v>
      </c>
      <c r="E61" s="81" t="s">
        <v>1123</v>
      </c>
      <c r="F61" s="82"/>
      <c r="G61" s="82">
        <v>7208</v>
      </c>
      <c r="H61" s="82"/>
      <c r="I61" s="83">
        <f t="shared" ref="I61:I62" si="4">+F61+G61+H61</f>
        <v>7208</v>
      </c>
    </row>
    <row r="62" spans="4:13">
      <c r="D62" s="81" t="s">
        <v>1124</v>
      </c>
      <c r="E62" s="81" t="s">
        <v>1125</v>
      </c>
      <c r="F62" s="84">
        <v>0</v>
      </c>
      <c r="G62" s="84">
        <v>3000</v>
      </c>
      <c r="H62" s="84"/>
      <c r="I62" s="83">
        <f t="shared" si="4"/>
        <v>3000</v>
      </c>
      <c r="J62" s="1"/>
      <c r="K62" s="67"/>
      <c r="M62" s="71"/>
    </row>
    <row r="63" spans="4:13">
      <c r="G63" s="67">
        <f>SUM(G61:G62)</f>
        <v>10208</v>
      </c>
      <c r="I63" s="85">
        <f>SUM(I61:I62)</f>
        <v>10208</v>
      </c>
    </row>
    <row r="64" spans="4:13">
      <c r="I64" s="71"/>
    </row>
    <row r="67" spans="6:9" s="67" customFormat="1">
      <c r="F67" s="85">
        <f>SUM(F63,F58,F45,F34,F20)</f>
        <v>131434.34999999998</v>
      </c>
      <c r="G67" s="85">
        <f>SUM(G63,G58,G45,G34,G20)</f>
        <v>58710.149999999994</v>
      </c>
      <c r="I67" s="85">
        <f>SUM(I63,I58,I45,I34,I20)</f>
        <v>190653.5</v>
      </c>
    </row>
    <row r="69" spans="6:9">
      <c r="F69" s="67" t="s">
        <v>1126</v>
      </c>
      <c r="G69" s="67" t="s">
        <v>1127</v>
      </c>
      <c r="H69" s="67" t="s">
        <v>1128</v>
      </c>
    </row>
    <row r="70" spans="6:9">
      <c r="F70" s="77">
        <f>I67*4.3332</f>
        <v>826139.74619999994</v>
      </c>
      <c r="G70" s="67">
        <f>F67*4.3332</f>
        <v>569531.32541999989</v>
      </c>
      <c r="H70" s="67">
        <f>G67*4.3332</f>
        <v>254402.82197999995</v>
      </c>
    </row>
    <row r="72" spans="6:9">
      <c r="F72" s="67" t="s">
        <v>1</v>
      </c>
      <c r="G72" s="67" t="s">
        <v>1127</v>
      </c>
      <c r="H72" s="67" t="s">
        <v>1128</v>
      </c>
      <c r="I72" s="1" t="s">
        <v>1129</v>
      </c>
    </row>
    <row r="73" spans="6:9">
      <c r="F73" s="77">
        <f>F70*12</f>
        <v>9913676.9543999992</v>
      </c>
      <c r="G73" s="77">
        <f t="shared" ref="G73:H73" si="5">G70*12</f>
        <v>6834375.9050399987</v>
      </c>
      <c r="H73" s="77">
        <f t="shared" si="5"/>
        <v>3052833.8637599992</v>
      </c>
      <c r="I73" s="85">
        <f>H73*1.06</f>
        <v>3236003.8955855994</v>
      </c>
    </row>
    <row r="75" spans="6:9">
      <c r="F75" s="67" t="s">
        <v>1130</v>
      </c>
    </row>
    <row r="76" spans="6:9">
      <c r="F76" s="77">
        <f>G73+I73</f>
        <v>10070379.800625598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Control_Gastos</vt:lpstr>
      <vt:lpstr>Corte</vt:lpstr>
      <vt:lpstr>Sacos</vt:lpstr>
      <vt:lpstr>Pantalón</vt:lpstr>
      <vt:lpstr>Resumen</vt:lpstr>
      <vt:lpstr>Sueldos 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Jorge Enrique Piñan</dc:creator>
  <cp:lastModifiedBy>Ing. Jorge Enrique Piñan</cp:lastModifiedBy>
  <dcterms:created xsi:type="dcterms:W3CDTF">2026-01-09T21:12:48Z</dcterms:created>
  <dcterms:modified xsi:type="dcterms:W3CDTF">2026-02-03T15:53:52Z</dcterms:modified>
</cp:coreProperties>
</file>